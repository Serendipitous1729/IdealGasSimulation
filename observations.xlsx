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han\Gr10\CS_Project\IdealGasSimulation\"/>
    </mc:Choice>
  </mc:AlternateContent>
  <xr:revisionPtr revIDLastSave="0" documentId="13_ncr:1_{7306C7F8-F6F8-4E62-A23F-53899AFBBB88}" xr6:coauthVersionLast="47" xr6:coauthVersionMax="47" xr10:uidLastSave="{00000000-0000-0000-0000-000000000000}"/>
  <bookViews>
    <workbookView xWindow="-110" yWindow="-110" windowWidth="19420" windowHeight="10300" firstSheet="4" activeTab="9" xr2:uid="{7F5CCD25-5577-4464-BD17-E33E5EE88E63}"/>
  </bookViews>
  <sheets>
    <sheet name="experiment_9" sheetId="12" r:id="rId1"/>
    <sheet name="experiment_8" sheetId="11" r:id="rId2"/>
    <sheet name="experiment_7" sheetId="10" r:id="rId3"/>
    <sheet name="experiment_6" sheetId="9" r:id="rId4"/>
    <sheet name="experiment_5" sheetId="8" r:id="rId5"/>
    <sheet name="experiment_4" sheetId="7" r:id="rId6"/>
    <sheet name="experiment_3" sheetId="6" r:id="rId7"/>
    <sheet name="experiment_2" sheetId="5" r:id="rId8"/>
    <sheet name="experiment_1" sheetId="4" r:id="rId9"/>
    <sheet name="Sheet1" sheetId="1" r:id="rId10"/>
  </sheets>
  <definedNames>
    <definedName name="_xlchart.v1.0" hidden="1">experiment_1!$AC$110</definedName>
    <definedName name="_xlchart.v1.1" hidden="1">experiment_1!$AC$111</definedName>
    <definedName name="_xlchart.v1.10" hidden="1">experiment_1!$AB$2:$AB$110</definedName>
    <definedName name="_xlchart.v1.100" hidden="1">experiment_1!$O$2:$O$110</definedName>
    <definedName name="_xlchart.v1.101" hidden="1">experiment_1!$P$1</definedName>
    <definedName name="_xlchart.v1.102" hidden="1">experiment_1!$P$2:$P$110</definedName>
    <definedName name="_xlchart.v1.103" hidden="1">experiment_1!$Q$1</definedName>
    <definedName name="_xlchart.v1.104" hidden="1">experiment_1!$Q$2:$Q$110</definedName>
    <definedName name="_xlchart.v1.105" hidden="1">experiment_1!$R$1</definedName>
    <definedName name="_xlchart.v1.106" hidden="1">experiment_1!$R$2:$R$110</definedName>
    <definedName name="_xlchart.v1.107" hidden="1">experiment_1!$S$1</definedName>
    <definedName name="_xlchart.v1.108" hidden="1">experiment_1!$S$2:$S$110</definedName>
    <definedName name="_xlchart.v1.109" hidden="1">experiment_1!$T$1</definedName>
    <definedName name="_xlchart.v1.11" hidden="1">experiment_1!$AC$1</definedName>
    <definedName name="_xlchart.v1.110" hidden="1">experiment_1!$T$2:$T$110</definedName>
    <definedName name="_xlchart.v1.111" hidden="1">experiment_1!$U$1</definedName>
    <definedName name="_xlchart.v1.112" hidden="1">experiment_1!$U$2:$U$110</definedName>
    <definedName name="_xlchart.v1.113" hidden="1">experiment_1!$V$1</definedName>
    <definedName name="_xlchart.v1.114" hidden="1">experiment_1!$V$2:$V$110</definedName>
    <definedName name="_xlchart.v1.115" hidden="1">experiment_1!$W$1</definedName>
    <definedName name="_xlchart.v1.116" hidden="1">experiment_1!$W$2:$W$110</definedName>
    <definedName name="_xlchart.v1.117" hidden="1">experiment_1!$X$1</definedName>
    <definedName name="_xlchart.v1.118" hidden="1">experiment_1!$X$2:$X$110</definedName>
    <definedName name="_xlchart.v1.119" hidden="1">experiment_1!$Y$1</definedName>
    <definedName name="_xlchart.v1.12" hidden="1">experiment_1!$AC$2:$AC$110</definedName>
    <definedName name="_xlchart.v1.120" hidden="1">experiment_1!$Y$2:$Y$110</definedName>
    <definedName name="_xlchart.v1.121" hidden="1">experiment_1!$Z$1</definedName>
    <definedName name="_xlchart.v1.122" hidden="1">experiment_1!$Z$2:$Z$110</definedName>
    <definedName name="_xlchart.v1.13" hidden="1">experiment_1!$B$1</definedName>
    <definedName name="_xlchart.v1.14" hidden="1">experiment_1!$B$110:$AC$110</definedName>
    <definedName name="_xlchart.v1.15" hidden="1">experiment_1!$B$2:$B$110</definedName>
    <definedName name="_xlchart.v1.16" hidden="1">experiment_1!$C$1</definedName>
    <definedName name="_xlchart.v1.17" hidden="1">experiment_1!$C$2:$C$110</definedName>
    <definedName name="_xlchart.v1.18" hidden="1">experiment_1!$D$1</definedName>
    <definedName name="_xlchart.v1.19" hidden="1">experiment_1!$D$2:$D$110</definedName>
    <definedName name="_xlchart.v1.2" hidden="1">experiment_1!$B$110:$AC$110</definedName>
    <definedName name="_xlchart.v1.20" hidden="1">experiment_1!$E$1</definedName>
    <definedName name="_xlchart.v1.21" hidden="1">experiment_1!$E$2:$E$110</definedName>
    <definedName name="_xlchart.v1.22" hidden="1">experiment_1!$F$1</definedName>
    <definedName name="_xlchart.v1.23" hidden="1">experiment_1!$F$2:$F$110</definedName>
    <definedName name="_xlchart.v1.24" hidden="1">experiment_1!$G$1</definedName>
    <definedName name="_xlchart.v1.25" hidden="1">experiment_1!$G$2:$G$110</definedName>
    <definedName name="_xlchart.v1.26" hidden="1">experiment_1!$H$1</definedName>
    <definedName name="_xlchart.v1.27" hidden="1">experiment_1!$H$2:$H$110</definedName>
    <definedName name="_xlchart.v1.28" hidden="1">experiment_1!$I$1</definedName>
    <definedName name="_xlchart.v1.29" hidden="1">experiment_1!$I$2:$I$110</definedName>
    <definedName name="_xlchart.v1.3" hidden="1">experiment_1!$B$111:$AB$111</definedName>
    <definedName name="_xlchart.v1.30" hidden="1">experiment_1!$J$1</definedName>
    <definedName name="_xlchart.v1.31" hidden="1">experiment_1!$J$2:$J$110</definedName>
    <definedName name="_xlchart.v1.32" hidden="1">experiment_1!$K$1</definedName>
    <definedName name="_xlchart.v1.33" hidden="1">experiment_1!$K$2:$K$110</definedName>
    <definedName name="_xlchart.v1.34" hidden="1">experiment_1!$L$1</definedName>
    <definedName name="_xlchart.v1.35" hidden="1">experiment_1!$L$2:$L$110</definedName>
    <definedName name="_xlchart.v1.36" hidden="1">experiment_1!$M$1</definedName>
    <definedName name="_xlchart.v1.37" hidden="1">experiment_1!$M$2:$M$110</definedName>
    <definedName name="_xlchart.v1.38" hidden="1">experiment_1!$N$1</definedName>
    <definedName name="_xlchart.v1.39" hidden="1">experiment_1!$N$2:$N$110</definedName>
    <definedName name="_xlchart.v1.4" hidden="1">experiment_1!$B$111:$AC$111</definedName>
    <definedName name="_xlchart.v1.40" hidden="1">experiment_1!$O$1</definedName>
    <definedName name="_xlchart.v1.41" hidden="1">experiment_1!$O$2:$O$110</definedName>
    <definedName name="_xlchart.v1.42" hidden="1">experiment_1!$P$1</definedName>
    <definedName name="_xlchart.v1.43" hidden="1">experiment_1!$P$2:$P$110</definedName>
    <definedName name="_xlchart.v1.44" hidden="1">experiment_1!$Q$1</definedName>
    <definedName name="_xlchart.v1.45" hidden="1">experiment_1!$Q$2:$Q$110</definedName>
    <definedName name="_xlchart.v1.46" hidden="1">experiment_1!$R$1</definedName>
    <definedName name="_xlchart.v1.47" hidden="1">experiment_1!$R$2:$R$110</definedName>
    <definedName name="_xlchart.v1.48" hidden="1">experiment_1!$S$1</definedName>
    <definedName name="_xlchart.v1.49" hidden="1">experiment_1!$S$2:$S$110</definedName>
    <definedName name="_xlchart.v1.5" hidden="1">experiment_1!$A$110</definedName>
    <definedName name="_xlchart.v1.50" hidden="1">experiment_1!$T$1</definedName>
    <definedName name="_xlchart.v1.51" hidden="1">experiment_1!$T$2:$T$110</definedName>
    <definedName name="_xlchart.v1.52" hidden="1">experiment_1!$U$1</definedName>
    <definedName name="_xlchart.v1.53" hidden="1">experiment_1!$U$2:$U$110</definedName>
    <definedName name="_xlchart.v1.54" hidden="1">experiment_1!$V$1</definedName>
    <definedName name="_xlchart.v1.55" hidden="1">experiment_1!$V$2:$V$110</definedName>
    <definedName name="_xlchart.v1.56" hidden="1">experiment_1!$W$1</definedName>
    <definedName name="_xlchart.v1.57" hidden="1">experiment_1!$W$2:$W$110</definedName>
    <definedName name="_xlchart.v1.58" hidden="1">experiment_1!$X$1</definedName>
    <definedName name="_xlchart.v1.59" hidden="1">experiment_1!$X$2:$X$110</definedName>
    <definedName name="_xlchart.v1.6" hidden="1">experiment_1!$A$2:$A$110</definedName>
    <definedName name="_xlchart.v1.60" hidden="1">experiment_1!$Y$1</definedName>
    <definedName name="_xlchart.v1.61" hidden="1">experiment_1!$Y$2:$Y$110</definedName>
    <definedName name="_xlchart.v1.62" hidden="1">experiment_1!$Z$1</definedName>
    <definedName name="_xlchart.v1.63" hidden="1">experiment_1!$Z$2:$Z$110</definedName>
    <definedName name="_xlchart.v1.64" hidden="1">experiment_1!$A$110</definedName>
    <definedName name="_xlchart.v1.65" hidden="1">experiment_1!$A$2:$A$110</definedName>
    <definedName name="_xlchart.v1.66" hidden="1">experiment_1!$AA$1</definedName>
    <definedName name="_xlchart.v1.67" hidden="1">experiment_1!$AA$2:$AA$110</definedName>
    <definedName name="_xlchart.v1.68" hidden="1">experiment_1!$AB$1</definedName>
    <definedName name="_xlchart.v1.69" hidden="1">experiment_1!$AB$2:$AB$110</definedName>
    <definedName name="_xlchart.v1.7" hidden="1">experiment_1!$AA$1</definedName>
    <definedName name="_xlchart.v1.70" hidden="1">experiment_1!$AC$1</definedName>
    <definedName name="_xlchart.v1.71" hidden="1">experiment_1!$AC$2:$AC$110</definedName>
    <definedName name="_xlchart.v1.72" hidden="1">experiment_1!$B$1</definedName>
    <definedName name="_xlchart.v1.73" hidden="1">experiment_1!$B$110:$AC$110</definedName>
    <definedName name="_xlchart.v1.74" hidden="1">experiment_1!$B$2:$B$110</definedName>
    <definedName name="_xlchart.v1.75" hidden="1">experiment_1!$C$1</definedName>
    <definedName name="_xlchart.v1.76" hidden="1">experiment_1!$C$2:$C$110</definedName>
    <definedName name="_xlchart.v1.77" hidden="1">experiment_1!$D$1</definedName>
    <definedName name="_xlchart.v1.78" hidden="1">experiment_1!$D$2:$D$110</definedName>
    <definedName name="_xlchart.v1.79" hidden="1">experiment_1!$E$1</definedName>
    <definedName name="_xlchart.v1.8" hidden="1">experiment_1!$AA$2:$AA$110</definedName>
    <definedName name="_xlchart.v1.80" hidden="1">experiment_1!$E$2:$E$110</definedName>
    <definedName name="_xlchart.v1.81" hidden="1">experiment_1!$F$1</definedName>
    <definedName name="_xlchart.v1.82" hidden="1">experiment_1!$F$2:$F$110</definedName>
    <definedName name="_xlchart.v1.83" hidden="1">experiment_1!$G$1</definedName>
    <definedName name="_xlchart.v1.84" hidden="1">experiment_1!$G$2:$G$110</definedName>
    <definedName name="_xlchart.v1.85" hidden="1">experiment_1!$H$1</definedName>
    <definedName name="_xlchart.v1.86" hidden="1">experiment_1!$H$2:$H$110</definedName>
    <definedName name="_xlchart.v1.87" hidden="1">experiment_1!$I$1</definedName>
    <definedName name="_xlchart.v1.88" hidden="1">experiment_1!$I$2:$I$110</definedName>
    <definedName name="_xlchart.v1.89" hidden="1">experiment_1!$J$1</definedName>
    <definedName name="_xlchart.v1.9" hidden="1">experiment_1!$AB$1</definedName>
    <definedName name="_xlchart.v1.90" hidden="1">experiment_1!$J$2:$J$110</definedName>
    <definedName name="_xlchart.v1.91" hidden="1">experiment_1!$K$1</definedName>
    <definedName name="_xlchart.v1.92" hidden="1">experiment_1!$K$2:$K$110</definedName>
    <definedName name="_xlchart.v1.93" hidden="1">experiment_1!$L$1</definedName>
    <definedName name="_xlchart.v1.94" hidden="1">experiment_1!$L$2:$L$110</definedName>
    <definedName name="_xlchart.v1.95" hidden="1">experiment_1!$M$1</definedName>
    <definedName name="_xlchart.v1.96" hidden="1">experiment_1!$M$2:$M$110</definedName>
    <definedName name="_xlchart.v1.97" hidden="1">experiment_1!$N$1</definedName>
    <definedName name="_xlchart.v1.98" hidden="1">experiment_1!$N$2:$N$110</definedName>
    <definedName name="_xlchart.v1.99" hidden="1">experiment_1!$O$1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A4" i="1" s="1"/>
  <c r="A3" i="1"/>
  <c r="A2" i="1"/>
  <c r="A1" i="1"/>
  <c r="E2" i="6"/>
  <c r="E2" i="5"/>
  <c r="E2" i="4"/>
  <c r="AE111" i="6"/>
  <c r="AF111" i="6"/>
  <c r="AG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C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C111" i="4"/>
  <c r="D111" i="4"/>
  <c r="E111" i="4"/>
  <c r="B111" i="4"/>
</calcChain>
</file>

<file path=xl/sharedStrings.xml><?xml version="1.0" encoding="utf-8"?>
<sst xmlns="http://schemas.openxmlformats.org/spreadsheetml/2006/main" count="20385" uniqueCount="48">
  <si>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</si>
  <si>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</si>
  <si>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</si>
  <si>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</si>
  <si>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</si>
  <si>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</si>
  <si>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</si>
  <si>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</si>
  <si>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</si>
  <si>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</si>
  <si>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</si>
  <si>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</si>
  <si>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</si>
  <si>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</si>
  <si>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</si>
  <si>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</si>
  <si>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</si>
  <si>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</si>
  <si>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</si>
  <si>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</si>
  <si>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</si>
  <si>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</si>
  <si>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</si>
  <si>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</si>
  <si>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</si>
  <si>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</si>
  <si>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</si>
  <si>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</si>
  <si>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</si>
  <si>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experiment</t>
  </si>
  <si>
    <t/>
  </si>
  <si>
    <t>particleCount</t>
  </si>
  <si>
    <t>particleMass</t>
  </si>
  <si>
    <t>volume</t>
  </si>
  <si>
    <t>frame</t>
  </si>
  <si>
    <t>time</t>
  </si>
  <si>
    <t>pressure</t>
  </si>
  <si>
    <t>RMSSpeed</t>
  </si>
  <si>
    <t>vXAvg</t>
  </si>
  <si>
    <t>vYAvg</t>
  </si>
  <si>
    <t>vZAvg</t>
  </si>
  <si>
    <t>histogramWidth</t>
  </si>
  <si>
    <t>histogram</t>
  </si>
  <si>
    <t>Column30</t>
  </si>
  <si>
    <t>Column31</t>
  </si>
  <si>
    <t>Column32</t>
  </si>
  <si>
    <t>Column33</t>
  </si>
  <si>
    <t>avgPressure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</si>
</sst>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A4BB-A40B-4DFA-883A-6084834C111B}">
  <dimension ref="A1:Z110"/>
  <sheetViews>
    <sheetView topLeftCell="A99" workbookViewId="0">
      <selection activeCell="C5" sqref="C5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26" width="11.542968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29</v>
      </c>
      <c r="B2" s="1">
        <v>9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</row>
    <row r="3" spans="1:26" x14ac:dyDescent="0.35">
      <c r="A3" t="s">
        <v>31</v>
      </c>
      <c r="B3" s="1">
        <v>1000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</row>
    <row r="4" spans="1:26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</row>
    <row r="5" spans="1:26" x14ac:dyDescent="0.35">
      <c r="A5" t="s">
        <v>33</v>
      </c>
      <c r="B5" s="1">
        <v>8000000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</row>
    <row r="6" spans="1:26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</row>
    <row r="7" spans="1:26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</row>
    <row r="8" spans="1:26" x14ac:dyDescent="0.35">
      <c r="A8" s="1">
        <v>0</v>
      </c>
      <c r="B8" s="1">
        <v>1.1096E-2</v>
      </c>
      <c r="C8" s="1">
        <v>0</v>
      </c>
      <c r="D8" s="1">
        <v>115.445382</v>
      </c>
      <c r="E8" s="1">
        <v>100.522666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</row>
    <row r="9" spans="1:26" x14ac:dyDescent="0.35">
      <c r="A9" s="1">
        <v>20</v>
      </c>
      <c r="B9" s="1">
        <v>0.26428099999999999</v>
      </c>
      <c r="C9" s="1">
        <v>16.628488000000001</v>
      </c>
      <c r="D9" s="1">
        <v>115.445382</v>
      </c>
      <c r="E9" s="1">
        <v>70.376281000000006</v>
      </c>
      <c r="F9" s="1">
        <v>0</v>
      </c>
      <c r="G9" s="1">
        <v>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</row>
    <row r="10" spans="1:26" x14ac:dyDescent="0.35">
      <c r="A10" s="1">
        <v>40</v>
      </c>
      <c r="B10" s="1">
        <v>0.41745100000000002</v>
      </c>
      <c r="C10" s="1">
        <v>29.892522</v>
      </c>
      <c r="D10" s="1">
        <v>115.445382</v>
      </c>
      <c r="E10" s="1">
        <v>49.294370999999998</v>
      </c>
      <c r="F10" s="1">
        <v>0.23547899999999999</v>
      </c>
      <c r="G10" s="1">
        <v>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</row>
    <row r="11" spans="1:26" x14ac:dyDescent="0.35">
      <c r="A11" s="1">
        <v>60</v>
      </c>
      <c r="B11" s="1">
        <v>0.80416299999999996</v>
      </c>
      <c r="C11" s="1">
        <v>8.3513850000000005</v>
      </c>
      <c r="D11" s="1">
        <v>115.445382</v>
      </c>
      <c r="E11" s="1">
        <v>14.104555</v>
      </c>
      <c r="F11" s="1">
        <v>9.3332999999999999E-2</v>
      </c>
      <c r="G11" s="1">
        <v>-6.3950000000000007E-2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</row>
    <row r="12" spans="1:26" x14ac:dyDescent="0.35">
      <c r="A12" s="1">
        <v>80</v>
      </c>
      <c r="B12" s="1">
        <v>1.133527</v>
      </c>
      <c r="C12" s="1">
        <v>66.224846999999997</v>
      </c>
      <c r="D12" s="1">
        <v>115.445382</v>
      </c>
      <c r="E12" s="1">
        <v>-23.801722999999999</v>
      </c>
      <c r="F12" s="1">
        <v>1.146679</v>
      </c>
      <c r="G12" s="1">
        <v>-0.62195999999999996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</row>
    <row r="13" spans="1:26" x14ac:dyDescent="0.35">
      <c r="A13" s="1">
        <v>100</v>
      </c>
      <c r="B13" s="1">
        <v>1.3804179999999999</v>
      </c>
      <c r="C13" s="1">
        <v>79.931709999999995</v>
      </c>
      <c r="D13" s="1">
        <v>115.445382</v>
      </c>
      <c r="E13" s="1">
        <v>-42.766795999999999</v>
      </c>
      <c r="F13" s="1">
        <v>1.4721</v>
      </c>
      <c r="G13" s="1">
        <v>-0.72070100000000004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</row>
    <row r="14" spans="1:26" x14ac:dyDescent="0.35">
      <c r="A14" s="1">
        <v>120</v>
      </c>
      <c r="B14" s="1">
        <v>1.5692299999999999</v>
      </c>
      <c r="C14" s="1">
        <v>72.938963000000001</v>
      </c>
      <c r="D14" s="1">
        <v>115.445382</v>
      </c>
      <c r="E14" s="1">
        <v>-42.033047000000003</v>
      </c>
      <c r="F14" s="1">
        <v>1.094033</v>
      </c>
      <c r="G14" s="1">
        <v>-0.51547100000000001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</row>
    <row r="15" spans="1:26" x14ac:dyDescent="0.35">
      <c r="A15" s="1">
        <v>140</v>
      </c>
      <c r="B15" s="1">
        <v>1.7539149999999999</v>
      </c>
      <c r="C15" s="1">
        <v>69.437331999999998</v>
      </c>
      <c r="D15" s="1">
        <v>115.445382</v>
      </c>
      <c r="E15" s="1">
        <v>-37.128677000000003</v>
      </c>
      <c r="F15" s="1">
        <v>1.3171740000000001</v>
      </c>
      <c r="G15" s="1">
        <v>-0.57514200000000004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</row>
    <row r="16" spans="1:26" x14ac:dyDescent="0.35">
      <c r="A16" s="1">
        <v>160</v>
      </c>
      <c r="B16" s="1">
        <v>1.9078930000000001</v>
      </c>
      <c r="C16" s="1">
        <v>75.070957000000007</v>
      </c>
      <c r="D16" s="1">
        <v>115.445382</v>
      </c>
      <c r="E16" s="1">
        <v>-30.406089000000001</v>
      </c>
      <c r="F16" s="1">
        <v>0.44340600000000002</v>
      </c>
      <c r="G16" s="1">
        <v>-0.85879799999999995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</row>
    <row r="17" spans="1:26" x14ac:dyDescent="0.35">
      <c r="A17" s="1">
        <v>180</v>
      </c>
      <c r="B17" s="1">
        <v>2.0532430000000002</v>
      </c>
      <c r="C17" s="1">
        <v>73.389069000000006</v>
      </c>
      <c r="D17" s="1">
        <v>115.445382</v>
      </c>
      <c r="E17" s="1">
        <v>-20.070817999999999</v>
      </c>
      <c r="F17" s="1">
        <v>0.74492400000000003</v>
      </c>
      <c r="G17" s="1">
        <v>-0.43495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</row>
    <row r="18" spans="1:26" x14ac:dyDescent="0.35">
      <c r="A18" s="1">
        <v>200</v>
      </c>
      <c r="B18" s="1">
        <v>2.2151399999999999</v>
      </c>
      <c r="C18" s="1">
        <v>62.386584999999997</v>
      </c>
      <c r="D18" s="1">
        <v>115.445382</v>
      </c>
      <c r="E18" s="1">
        <v>-6.4757040000000003</v>
      </c>
      <c r="F18" s="1">
        <v>0.40113399999999999</v>
      </c>
      <c r="G18" s="1">
        <v>0.15573899999999999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</row>
    <row r="19" spans="1:26" x14ac:dyDescent="0.35">
      <c r="A19" s="1">
        <v>220</v>
      </c>
      <c r="B19" s="1">
        <v>2.3669039999999999</v>
      </c>
      <c r="C19" s="1">
        <v>53.724344000000002</v>
      </c>
      <c r="D19" s="1">
        <v>115.445382</v>
      </c>
      <c r="E19" s="1">
        <v>2.1598069999999998</v>
      </c>
      <c r="F19" s="1">
        <v>0.35858299999999999</v>
      </c>
      <c r="G19" s="1">
        <v>-0.25583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</row>
    <row r="20" spans="1:26" x14ac:dyDescent="0.35">
      <c r="A20" s="1">
        <v>240</v>
      </c>
      <c r="B20" s="1">
        <v>2.5053299999999998</v>
      </c>
      <c r="C20" s="1">
        <v>58.429918000000001</v>
      </c>
      <c r="D20" s="1">
        <v>115.445382</v>
      </c>
      <c r="E20" s="1">
        <v>5.0385780000000002</v>
      </c>
      <c r="F20" s="1">
        <v>-0.72094599999999998</v>
      </c>
      <c r="G20" s="1">
        <v>0.30470999999999998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</row>
    <row r="21" spans="1:26" x14ac:dyDescent="0.35">
      <c r="A21" s="1">
        <v>260</v>
      </c>
      <c r="B21" s="1">
        <v>2.6466460000000001</v>
      </c>
      <c r="C21" s="1">
        <v>55.309044</v>
      </c>
      <c r="D21" s="1">
        <v>115.445382</v>
      </c>
      <c r="E21" s="1">
        <v>8.6258040000000005</v>
      </c>
      <c r="F21" s="1">
        <v>-0.90296699999999996</v>
      </c>
      <c r="G21" s="1">
        <v>-0.112729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</row>
    <row r="22" spans="1:26" x14ac:dyDescent="0.35">
      <c r="A22" s="1">
        <v>280</v>
      </c>
      <c r="B22" s="1">
        <v>2.7955670000000001</v>
      </c>
      <c r="C22" s="1">
        <v>53.694747</v>
      </c>
      <c r="D22" s="1">
        <v>115.445382</v>
      </c>
      <c r="E22" s="1">
        <v>12.573814</v>
      </c>
      <c r="F22" s="1">
        <v>-1.147891</v>
      </c>
      <c r="G22" s="1">
        <v>-0.89780099999999996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</row>
    <row r="23" spans="1:26" x14ac:dyDescent="0.35">
      <c r="A23" s="1">
        <v>300</v>
      </c>
      <c r="B23" s="1">
        <v>2.9393020000000001</v>
      </c>
      <c r="C23" s="1">
        <v>41.909547000000003</v>
      </c>
      <c r="D23" s="1">
        <v>115.445382</v>
      </c>
      <c r="E23" s="1">
        <v>8.6311020000000003</v>
      </c>
      <c r="F23" s="1">
        <v>-0.88329500000000005</v>
      </c>
      <c r="G23" s="1">
        <v>-0.56004900000000002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</row>
    <row r="24" spans="1:26" x14ac:dyDescent="0.35">
      <c r="A24" s="1">
        <v>320</v>
      </c>
      <c r="B24" s="1">
        <v>3.1294360000000001</v>
      </c>
      <c r="C24" s="1">
        <v>50.125515</v>
      </c>
      <c r="D24" s="1">
        <v>115.445382</v>
      </c>
      <c r="E24" s="1">
        <v>2.9647760000000001</v>
      </c>
      <c r="F24" s="1">
        <v>-0.62728899999999999</v>
      </c>
      <c r="G24" s="1">
        <v>-0.21762400000000001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</row>
    <row r="25" spans="1:26" x14ac:dyDescent="0.35">
      <c r="A25" s="1">
        <v>340</v>
      </c>
      <c r="B25" s="1">
        <v>3.2786270000000002</v>
      </c>
      <c r="C25" s="1">
        <v>62.147922999999999</v>
      </c>
      <c r="D25" s="1">
        <v>115.445382</v>
      </c>
      <c r="E25" s="1">
        <v>-1.2112270000000001</v>
      </c>
      <c r="F25" s="1">
        <v>-0.76412400000000003</v>
      </c>
      <c r="G25" s="1">
        <v>0.28954200000000002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</row>
    <row r="26" spans="1:26" x14ac:dyDescent="0.35">
      <c r="A26" s="1">
        <v>360</v>
      </c>
      <c r="B26" s="1">
        <v>3.4591609999999999</v>
      </c>
      <c r="C26" s="1">
        <v>46.638444999999997</v>
      </c>
      <c r="D26" s="1">
        <v>115.445382</v>
      </c>
      <c r="E26" s="1">
        <v>-5.895016</v>
      </c>
      <c r="F26" s="1">
        <v>-0.53489799999999998</v>
      </c>
      <c r="G26" s="1">
        <v>0.57439200000000001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</row>
    <row r="27" spans="1:26" x14ac:dyDescent="0.35">
      <c r="A27" s="1">
        <v>380</v>
      </c>
      <c r="B27" s="1">
        <v>3.6131030000000002</v>
      </c>
      <c r="C27" s="1">
        <v>64.521713000000005</v>
      </c>
      <c r="D27" s="1">
        <v>115.445382</v>
      </c>
      <c r="E27" s="1">
        <v>-6.2558619999999996</v>
      </c>
      <c r="F27" s="1">
        <v>-0.97635799999999995</v>
      </c>
      <c r="G27" s="1">
        <v>1.4473640000000001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</row>
    <row r="28" spans="1:26" x14ac:dyDescent="0.35">
      <c r="A28" s="1">
        <v>400</v>
      </c>
      <c r="B28" s="1">
        <v>3.7740640000000001</v>
      </c>
      <c r="C28" s="1">
        <v>60.486778000000001</v>
      </c>
      <c r="D28" s="1">
        <v>115.445382</v>
      </c>
      <c r="E28" s="1">
        <v>-8.921818</v>
      </c>
      <c r="F28" s="1">
        <v>-0.59235000000000004</v>
      </c>
      <c r="G28" s="1">
        <v>1.439357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</row>
    <row r="29" spans="1:26" x14ac:dyDescent="0.35">
      <c r="A29" s="1">
        <v>420</v>
      </c>
      <c r="B29" s="1">
        <v>3.9202569999999999</v>
      </c>
      <c r="C29" s="1">
        <v>60.939022999999999</v>
      </c>
      <c r="D29" s="1">
        <v>115.445382</v>
      </c>
      <c r="E29" s="1">
        <v>-6.427505</v>
      </c>
      <c r="F29" s="1">
        <v>0.370585</v>
      </c>
      <c r="G29" s="1">
        <v>1.658676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</row>
    <row r="30" spans="1:26" x14ac:dyDescent="0.35">
      <c r="A30" s="1">
        <v>440</v>
      </c>
      <c r="B30" s="1">
        <v>4.083278</v>
      </c>
      <c r="C30" s="1">
        <v>62.176893999999997</v>
      </c>
      <c r="D30" s="1">
        <v>115.445382</v>
      </c>
      <c r="E30" s="1">
        <v>-4.114795</v>
      </c>
      <c r="F30" s="1">
        <v>9.0245000000000006E-2</v>
      </c>
      <c r="G30" s="1">
        <v>1.725535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</row>
    <row r="31" spans="1:26" x14ac:dyDescent="0.35">
      <c r="A31" s="1">
        <v>460</v>
      </c>
      <c r="B31" s="1">
        <v>4.2401090000000003</v>
      </c>
      <c r="C31" s="1">
        <v>53.507361000000003</v>
      </c>
      <c r="D31" s="1">
        <v>115.445382</v>
      </c>
      <c r="E31" s="1">
        <v>-0.52226099999999998</v>
      </c>
      <c r="F31" s="1">
        <v>-0.43384099999999998</v>
      </c>
      <c r="G31" s="1">
        <v>1.4824999999999999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</row>
    <row r="32" spans="1:26" x14ac:dyDescent="0.35">
      <c r="A32" s="1">
        <v>480</v>
      </c>
      <c r="B32" s="1">
        <v>4.4202329999999996</v>
      </c>
      <c r="C32" s="1">
        <v>50.715392000000001</v>
      </c>
      <c r="D32" s="1">
        <v>115.445382</v>
      </c>
      <c r="E32" s="1">
        <v>0.93445400000000001</v>
      </c>
      <c r="F32" s="1">
        <v>-0.69864800000000005</v>
      </c>
      <c r="G32" s="1">
        <v>1.4721789999999999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</row>
    <row r="33" spans="1:26" x14ac:dyDescent="0.35">
      <c r="A33" s="1">
        <v>500</v>
      </c>
      <c r="B33" s="1">
        <v>4.5810149999999998</v>
      </c>
      <c r="C33" s="1">
        <v>60.115228999999999</v>
      </c>
      <c r="D33" s="1">
        <v>115.445382</v>
      </c>
      <c r="E33" s="1">
        <v>1.326076</v>
      </c>
      <c r="F33" s="1">
        <v>-1.110589</v>
      </c>
      <c r="G33" s="1">
        <v>1.1516770000000001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</row>
    <row r="34" spans="1:26" x14ac:dyDescent="0.35">
      <c r="A34" s="1">
        <v>520</v>
      </c>
      <c r="B34" s="1">
        <v>4.7327859999999999</v>
      </c>
      <c r="C34" s="1">
        <v>56.703099000000002</v>
      </c>
      <c r="D34" s="1">
        <v>115.445382</v>
      </c>
      <c r="E34" s="1">
        <v>2.174585</v>
      </c>
      <c r="F34" s="1">
        <v>-1.4700599999999999</v>
      </c>
      <c r="G34" s="1">
        <v>1.7916380000000001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</row>
    <row r="35" spans="1:26" x14ac:dyDescent="0.35">
      <c r="A35" s="1">
        <v>540</v>
      </c>
      <c r="B35" s="1">
        <v>4.8873119999999997</v>
      </c>
      <c r="C35" s="1">
        <v>56.478394999999999</v>
      </c>
      <c r="D35" s="1">
        <v>115.445382</v>
      </c>
      <c r="E35" s="1">
        <v>1.958782</v>
      </c>
      <c r="F35" s="1">
        <v>-1.9382779999999999</v>
      </c>
      <c r="G35" s="1">
        <v>1.108771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</row>
    <row r="36" spans="1:26" x14ac:dyDescent="0.35">
      <c r="A36" s="1">
        <v>560</v>
      </c>
      <c r="B36" s="1">
        <v>5.0377020000000003</v>
      </c>
      <c r="C36" s="1">
        <v>55.888285000000003</v>
      </c>
      <c r="D36" s="1">
        <v>115.445382</v>
      </c>
      <c r="E36" s="1">
        <v>-0.20754500000000001</v>
      </c>
      <c r="F36" s="1">
        <v>-2.2218149999999999</v>
      </c>
      <c r="G36" s="1">
        <v>0.655003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</row>
    <row r="37" spans="1:26" x14ac:dyDescent="0.35">
      <c r="A37" s="1">
        <v>580</v>
      </c>
      <c r="B37" s="1">
        <v>5.2358549999999999</v>
      </c>
      <c r="C37" s="1">
        <v>60.944766999999999</v>
      </c>
      <c r="D37" s="1">
        <v>115.445382</v>
      </c>
      <c r="E37" s="1">
        <v>-3.2776550000000002</v>
      </c>
      <c r="F37" s="1">
        <v>-1.0113559999999999</v>
      </c>
      <c r="G37" s="1">
        <v>0.95448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</row>
    <row r="38" spans="1:26" x14ac:dyDescent="0.35">
      <c r="A38" s="1">
        <v>600</v>
      </c>
      <c r="B38" s="1">
        <v>5.3948090000000004</v>
      </c>
      <c r="C38" s="1">
        <v>59.891202</v>
      </c>
      <c r="D38" s="1">
        <v>115.445382</v>
      </c>
      <c r="E38" s="1">
        <v>-7.4580450000000003</v>
      </c>
      <c r="F38" s="1">
        <v>-0.49416599999999999</v>
      </c>
      <c r="G38" s="1">
        <v>0.81876499999999997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</row>
    <row r="39" spans="1:26" x14ac:dyDescent="0.35">
      <c r="A39" s="1">
        <v>620</v>
      </c>
      <c r="B39" s="1">
        <v>5.5444040000000001</v>
      </c>
      <c r="C39" s="1">
        <v>59.974542</v>
      </c>
      <c r="D39" s="1">
        <v>115.445382</v>
      </c>
      <c r="E39" s="1">
        <v>-4.1458890000000004</v>
      </c>
      <c r="F39" s="1">
        <v>0.23721700000000001</v>
      </c>
      <c r="G39" s="1">
        <v>-0.20216700000000001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</row>
    <row r="40" spans="1:26" x14ac:dyDescent="0.35">
      <c r="A40" s="1">
        <v>640</v>
      </c>
      <c r="B40" s="1">
        <v>5.6949120000000004</v>
      </c>
      <c r="C40" s="1">
        <v>57.782423999999999</v>
      </c>
      <c r="D40" s="1">
        <v>115.445382</v>
      </c>
      <c r="E40" s="1">
        <v>-4.5438219999999996</v>
      </c>
      <c r="F40" s="1">
        <v>-0.66361899999999996</v>
      </c>
      <c r="G40" s="1">
        <v>-0.75226899999999997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</row>
    <row r="41" spans="1:26" x14ac:dyDescent="0.35">
      <c r="A41" s="1">
        <v>660</v>
      </c>
      <c r="B41" s="1">
        <v>5.8420639999999997</v>
      </c>
      <c r="C41" s="1">
        <v>58.028216999999998</v>
      </c>
      <c r="D41" s="1">
        <v>115.445382</v>
      </c>
      <c r="E41" s="1">
        <v>-3.2098119999999999</v>
      </c>
      <c r="F41" s="1">
        <v>-0.25239200000000001</v>
      </c>
      <c r="G41" s="1">
        <v>-0.59822399999999998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</row>
    <row r="42" spans="1:26" x14ac:dyDescent="0.35">
      <c r="A42" s="1">
        <v>680</v>
      </c>
      <c r="B42" s="1">
        <v>5.9889609999999998</v>
      </c>
      <c r="C42" s="1">
        <v>60.475141999999998</v>
      </c>
      <c r="D42" s="1">
        <v>115.445382</v>
      </c>
      <c r="E42" s="1">
        <v>-1.823529</v>
      </c>
      <c r="F42" s="1">
        <v>-0.18626300000000001</v>
      </c>
      <c r="G42" s="1">
        <v>-1.604285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</row>
    <row r="43" spans="1:26" x14ac:dyDescent="0.35">
      <c r="A43" s="1">
        <v>700</v>
      </c>
      <c r="B43" s="1">
        <v>6.1416190000000004</v>
      </c>
      <c r="C43" s="1">
        <v>59.200673000000002</v>
      </c>
      <c r="D43" s="1">
        <v>115.445382</v>
      </c>
      <c r="E43" s="1">
        <v>-3.8270010000000001</v>
      </c>
      <c r="F43" s="1">
        <v>-1.040362</v>
      </c>
      <c r="G43" s="1">
        <v>-2.1103429999999999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</row>
    <row r="44" spans="1:26" x14ac:dyDescent="0.35">
      <c r="A44" s="1">
        <v>720</v>
      </c>
      <c r="B44" s="1">
        <v>6.2906659999999999</v>
      </c>
      <c r="C44" s="1">
        <v>61.530577000000001</v>
      </c>
      <c r="D44" s="1">
        <v>115.445382</v>
      </c>
      <c r="E44" s="1">
        <v>-2.349974</v>
      </c>
      <c r="F44" s="1">
        <v>-0.138712</v>
      </c>
      <c r="G44" s="1">
        <v>-2.9132899999999999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</row>
    <row r="45" spans="1:26" x14ac:dyDescent="0.35">
      <c r="A45" s="1">
        <v>740</v>
      </c>
      <c r="B45" s="1">
        <v>6.4362539999999999</v>
      </c>
      <c r="C45" s="1">
        <v>58.496243</v>
      </c>
      <c r="D45" s="1">
        <v>115.445382</v>
      </c>
      <c r="E45" s="1">
        <v>6.1118629999999996</v>
      </c>
      <c r="F45" s="1">
        <v>8.0397999999999997E-2</v>
      </c>
      <c r="G45" s="1">
        <v>-3.1935950000000002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</row>
    <row r="46" spans="1:26" x14ac:dyDescent="0.35">
      <c r="A46" s="1">
        <v>760</v>
      </c>
      <c r="B46" s="1">
        <v>6.576994</v>
      </c>
      <c r="C46" s="1">
        <v>61.290899000000003</v>
      </c>
      <c r="D46" s="1">
        <v>115.445382</v>
      </c>
      <c r="E46" s="1">
        <v>1.217957</v>
      </c>
      <c r="F46" s="1">
        <v>0.57200700000000004</v>
      </c>
      <c r="G46" s="1">
        <v>-2.232532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</row>
    <row r="47" spans="1:26" x14ac:dyDescent="0.35">
      <c r="A47" s="1">
        <v>780</v>
      </c>
      <c r="B47" s="1">
        <v>6.7450929999999998</v>
      </c>
      <c r="C47" s="1">
        <v>47.485537999999998</v>
      </c>
      <c r="D47" s="1">
        <v>115.445382</v>
      </c>
      <c r="E47" s="1">
        <v>4.8278290000000004</v>
      </c>
      <c r="F47" s="1">
        <v>1.159637</v>
      </c>
      <c r="G47" s="1">
        <v>-1.7825660000000001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</row>
    <row r="48" spans="1:26" x14ac:dyDescent="0.35">
      <c r="A48" s="1">
        <v>800</v>
      </c>
      <c r="B48" s="1">
        <v>6.90672</v>
      </c>
      <c r="C48" s="1">
        <v>36.481582000000003</v>
      </c>
      <c r="D48" s="1">
        <v>115.445382</v>
      </c>
      <c r="E48" s="1">
        <v>2.9670369999999999</v>
      </c>
      <c r="F48" s="1">
        <v>1.982559</v>
      </c>
      <c r="G48" s="1">
        <v>-2.0288780000000002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</row>
    <row r="49" spans="1:26" x14ac:dyDescent="0.35">
      <c r="A49" s="1">
        <v>820</v>
      </c>
      <c r="B49" s="1">
        <v>7.0756920000000001</v>
      </c>
      <c r="C49" s="1">
        <v>41.243355999999999</v>
      </c>
      <c r="D49" s="1">
        <v>115.445382</v>
      </c>
      <c r="E49" s="1">
        <v>4.9516830000000001</v>
      </c>
      <c r="F49" s="1">
        <v>1.5144629999999999</v>
      </c>
      <c r="G49" s="1">
        <v>-1.462102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</row>
    <row r="50" spans="1:26" x14ac:dyDescent="0.35">
      <c r="A50" s="1">
        <v>840</v>
      </c>
      <c r="B50" s="1">
        <v>7.2345509999999997</v>
      </c>
      <c r="C50" s="1">
        <v>52.345415000000003</v>
      </c>
      <c r="D50" s="1">
        <v>115.445382</v>
      </c>
      <c r="E50" s="1">
        <v>4.4122110000000001</v>
      </c>
      <c r="F50" s="1">
        <v>0.42274499999999998</v>
      </c>
      <c r="G50" s="1">
        <v>0.94711400000000001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</row>
    <row r="51" spans="1:26" x14ac:dyDescent="0.35">
      <c r="A51" s="1">
        <v>860</v>
      </c>
      <c r="B51" s="1">
        <v>7.4089869999999998</v>
      </c>
      <c r="C51" s="1">
        <v>53.517502999999998</v>
      </c>
      <c r="D51" s="1">
        <v>115.445382</v>
      </c>
      <c r="E51" s="1">
        <v>2.578436</v>
      </c>
      <c r="F51" s="1">
        <v>-0.47728599999999999</v>
      </c>
      <c r="G51" s="1">
        <v>0.311089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</row>
    <row r="52" spans="1:26" x14ac:dyDescent="0.35">
      <c r="A52" s="1">
        <v>880</v>
      </c>
      <c r="B52" s="1">
        <v>7.5549939999999998</v>
      </c>
      <c r="C52" s="1">
        <v>56.05162</v>
      </c>
      <c r="D52" s="1">
        <v>115.445382</v>
      </c>
      <c r="E52" s="1">
        <v>3.865675</v>
      </c>
      <c r="F52" s="1">
        <v>-0.70718300000000001</v>
      </c>
      <c r="G52" s="1">
        <v>1.0921540000000001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</row>
    <row r="53" spans="1:26" x14ac:dyDescent="0.35">
      <c r="A53" s="1">
        <v>900</v>
      </c>
      <c r="B53" s="1">
        <v>7.7087019999999997</v>
      </c>
      <c r="C53" s="1">
        <v>53.546543999999997</v>
      </c>
      <c r="D53" s="1">
        <v>115.445382</v>
      </c>
      <c r="E53" s="1">
        <v>4.9265860000000004</v>
      </c>
      <c r="F53" s="1">
        <v>-0.24043800000000001</v>
      </c>
      <c r="G53" s="1">
        <v>1.354711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</row>
    <row r="54" spans="1:26" x14ac:dyDescent="0.35">
      <c r="A54" s="1">
        <v>920</v>
      </c>
      <c r="B54" s="1">
        <v>7.858168</v>
      </c>
      <c r="C54" s="1">
        <v>56.012974</v>
      </c>
      <c r="D54" s="1">
        <v>115.445382</v>
      </c>
      <c r="E54" s="1">
        <v>1.5616209999999999</v>
      </c>
      <c r="F54" s="1">
        <v>5.3616999999999998E-2</v>
      </c>
      <c r="G54" s="1">
        <v>1.233795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</row>
    <row r="55" spans="1:26" x14ac:dyDescent="0.35">
      <c r="A55" s="1">
        <v>940</v>
      </c>
      <c r="B55" s="1">
        <v>8.0038459999999993</v>
      </c>
      <c r="C55" s="1">
        <v>58.247554999999998</v>
      </c>
      <c r="D55" s="1">
        <v>115.445382</v>
      </c>
      <c r="E55" s="1">
        <v>1.5060439999999999</v>
      </c>
      <c r="F55" s="1">
        <v>-8.3925E-2</v>
      </c>
      <c r="G55" s="1">
        <v>2.1085820000000002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</row>
    <row r="56" spans="1:26" x14ac:dyDescent="0.35">
      <c r="A56" s="1">
        <v>960</v>
      </c>
      <c r="B56" s="1">
        <v>8.1466379999999994</v>
      </c>
      <c r="C56" s="1">
        <v>58.164996000000002</v>
      </c>
      <c r="D56" s="1">
        <v>115.445382</v>
      </c>
      <c r="E56" s="1">
        <v>0.91675200000000001</v>
      </c>
      <c r="F56" s="1">
        <v>-0.84120200000000001</v>
      </c>
      <c r="G56" s="1">
        <v>1.536376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</row>
    <row r="57" spans="1:26" x14ac:dyDescent="0.35">
      <c r="A57" s="1">
        <v>980</v>
      </c>
      <c r="B57" s="1">
        <v>8.2975650000000005</v>
      </c>
      <c r="C57" s="1">
        <v>60.518766999999997</v>
      </c>
      <c r="D57" s="1">
        <v>115.445382</v>
      </c>
      <c r="E57" s="1">
        <v>-0.65576100000000004</v>
      </c>
      <c r="F57" s="1">
        <v>-0.44923299999999999</v>
      </c>
      <c r="G57" s="1">
        <v>0.935083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</row>
    <row r="58" spans="1:26" x14ac:dyDescent="0.35">
      <c r="A58" s="1">
        <v>1000</v>
      </c>
      <c r="B58" s="1">
        <v>8.4521829999999998</v>
      </c>
      <c r="C58" s="1">
        <v>37.864421999999998</v>
      </c>
      <c r="D58" s="1">
        <v>115.445382</v>
      </c>
      <c r="E58" s="1">
        <v>-1.613402</v>
      </c>
      <c r="F58" s="1">
        <v>-0.53920000000000001</v>
      </c>
      <c r="G58" s="1">
        <v>-0.43652000000000002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</row>
    <row r="59" spans="1:26" x14ac:dyDescent="0.35">
      <c r="A59" s="1">
        <v>1020</v>
      </c>
      <c r="B59" s="1">
        <v>8.6072880000000005</v>
      </c>
      <c r="C59" s="1">
        <v>57.953876999999999</v>
      </c>
      <c r="D59" s="1">
        <v>115.445382</v>
      </c>
      <c r="E59" s="1">
        <v>-4.0871440000000003</v>
      </c>
      <c r="F59" s="1">
        <v>0.223827</v>
      </c>
      <c r="G59" s="1">
        <v>-0.39555400000000002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</row>
    <row r="60" spans="1:26" x14ac:dyDescent="0.35">
      <c r="A60" s="1">
        <v>1040</v>
      </c>
      <c r="B60" s="1">
        <v>8.7573969999999992</v>
      </c>
      <c r="C60" s="1">
        <v>61.111012000000002</v>
      </c>
      <c r="D60" s="1">
        <v>115.445382</v>
      </c>
      <c r="E60" s="1">
        <v>-4.5356680000000003</v>
      </c>
      <c r="F60" s="1">
        <v>1.030875</v>
      </c>
      <c r="G60" s="1">
        <v>-0.18343899999999999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</row>
    <row r="61" spans="1:26" x14ac:dyDescent="0.35">
      <c r="A61" s="1">
        <v>1060</v>
      </c>
      <c r="B61" s="1">
        <v>8.9022059999999996</v>
      </c>
      <c r="C61" s="1">
        <v>58.133853000000002</v>
      </c>
      <c r="D61" s="1">
        <v>115.445382</v>
      </c>
      <c r="E61" s="1">
        <v>-3.7291319999999999</v>
      </c>
      <c r="F61" s="1">
        <v>0.50455799999999995</v>
      </c>
      <c r="G61" s="1">
        <v>0.48337999999999998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</row>
    <row r="62" spans="1:26" x14ac:dyDescent="0.35">
      <c r="A62" s="1">
        <v>1080</v>
      </c>
      <c r="B62" s="1">
        <v>9.0448190000000004</v>
      </c>
      <c r="C62" s="1">
        <v>63.228707999999997</v>
      </c>
      <c r="D62" s="1">
        <v>115.445382</v>
      </c>
      <c r="E62" s="1">
        <v>-4.1821020000000004</v>
      </c>
      <c r="F62" s="1">
        <v>-1.6699999999999999E-4</v>
      </c>
      <c r="G62" s="1">
        <v>0.33962900000000001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</row>
    <row r="63" spans="1:26" x14ac:dyDescent="0.35">
      <c r="A63" s="1">
        <v>1100</v>
      </c>
      <c r="B63" s="1">
        <v>9.2151119999999995</v>
      </c>
      <c r="C63" s="1">
        <v>66.054833000000002</v>
      </c>
      <c r="D63" s="1">
        <v>115.445382</v>
      </c>
      <c r="E63" s="1">
        <v>-5.6884990000000002</v>
      </c>
      <c r="F63" s="1">
        <v>-0.41303200000000001</v>
      </c>
      <c r="G63" s="1">
        <v>-0.56218900000000005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</row>
    <row r="64" spans="1:26" x14ac:dyDescent="0.35">
      <c r="A64" s="1">
        <v>1120</v>
      </c>
      <c r="B64" s="1">
        <v>9.3829460000000005</v>
      </c>
      <c r="C64" s="1">
        <v>39.864263999999999</v>
      </c>
      <c r="D64" s="1">
        <v>115.445382</v>
      </c>
      <c r="E64" s="1">
        <v>-7.3851709999999997</v>
      </c>
      <c r="F64" s="1">
        <v>-0.85819800000000002</v>
      </c>
      <c r="G64" s="1">
        <v>-0.15142600000000001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</row>
    <row r="65" spans="1:26" x14ac:dyDescent="0.35">
      <c r="A65" s="1">
        <v>1140</v>
      </c>
      <c r="B65" s="1">
        <v>9.5642359999999993</v>
      </c>
      <c r="C65" s="1">
        <v>44.369532</v>
      </c>
      <c r="D65" s="1">
        <v>115.445382</v>
      </c>
      <c r="E65" s="1">
        <v>-3.016556</v>
      </c>
      <c r="F65" s="1">
        <v>-0.75583900000000004</v>
      </c>
      <c r="G65" s="1">
        <v>0.96764899999999998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</row>
    <row r="66" spans="1:26" x14ac:dyDescent="0.35">
      <c r="A66" s="1">
        <v>1160</v>
      </c>
      <c r="B66" s="1">
        <v>9.7286649999999995</v>
      </c>
      <c r="C66" s="1">
        <v>56.182194000000003</v>
      </c>
      <c r="D66" s="1">
        <v>115.445382</v>
      </c>
      <c r="E66" s="1">
        <v>0.384633</v>
      </c>
      <c r="F66" s="1">
        <v>-1.3910469999999999</v>
      </c>
      <c r="G66" s="1">
        <v>0.178649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</row>
    <row r="67" spans="1:26" x14ac:dyDescent="0.35">
      <c r="A67" s="1">
        <v>1180</v>
      </c>
      <c r="B67" s="1">
        <v>9.8756640000000004</v>
      </c>
      <c r="C67" s="1">
        <v>38.899009</v>
      </c>
      <c r="D67" s="1">
        <v>115.445382</v>
      </c>
      <c r="E67" s="1">
        <v>2.0394000000000001</v>
      </c>
      <c r="F67" s="1">
        <v>-1.4497739999999999</v>
      </c>
      <c r="G67" s="1">
        <v>0.22990099999999999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</row>
    <row r="68" spans="1:26" x14ac:dyDescent="0.35">
      <c r="A68" s="1">
        <v>1200</v>
      </c>
      <c r="B68" s="1">
        <v>10.059896999999999</v>
      </c>
      <c r="C68" s="1">
        <v>27.871241999999999</v>
      </c>
      <c r="D68" s="1">
        <v>115.445382</v>
      </c>
      <c r="E68" s="1">
        <v>4.0840949999999996</v>
      </c>
      <c r="F68" s="1">
        <v>-1.518143</v>
      </c>
      <c r="G68" s="1">
        <v>-0.70547400000000005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</row>
    <row r="69" spans="1:26" x14ac:dyDescent="0.35">
      <c r="A69" s="1">
        <v>1220</v>
      </c>
      <c r="B69" s="1">
        <v>10.239611999999999</v>
      </c>
      <c r="C69" s="1">
        <v>30.294114</v>
      </c>
      <c r="D69" s="1">
        <v>115.445382</v>
      </c>
      <c r="E69" s="1">
        <v>2.898806</v>
      </c>
      <c r="F69" s="1">
        <v>-3.514875</v>
      </c>
      <c r="G69" s="1">
        <v>-2.402425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</row>
    <row r="70" spans="1:26" x14ac:dyDescent="0.35">
      <c r="A70" s="1">
        <v>1240</v>
      </c>
      <c r="B70" s="1">
        <v>10.389870999999999</v>
      </c>
      <c r="C70" s="1">
        <v>59.529121000000004</v>
      </c>
      <c r="D70" s="1">
        <v>115.445382</v>
      </c>
      <c r="E70" s="1">
        <v>4.8036519999999996</v>
      </c>
      <c r="F70" s="1">
        <v>-1.3103800000000001</v>
      </c>
      <c r="G70" s="1">
        <v>-2.3609040000000001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</row>
    <row r="71" spans="1:26" x14ac:dyDescent="0.35">
      <c r="A71" s="1">
        <v>1260</v>
      </c>
      <c r="B71" s="1">
        <v>10.555730000000001</v>
      </c>
      <c r="C71" s="1">
        <v>52.327384000000002</v>
      </c>
      <c r="D71" s="1">
        <v>115.445382</v>
      </c>
      <c r="E71" s="1">
        <v>5.8017219999999998</v>
      </c>
      <c r="F71" s="1">
        <v>-0.338505</v>
      </c>
      <c r="G71" s="1">
        <v>-2.1099929999999998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</row>
    <row r="72" spans="1:26" x14ac:dyDescent="0.35">
      <c r="A72" s="1">
        <v>1280</v>
      </c>
      <c r="B72" s="1">
        <v>10.724671000000001</v>
      </c>
      <c r="C72" s="1">
        <v>56.962561999999998</v>
      </c>
      <c r="D72" s="1">
        <v>115.445382</v>
      </c>
      <c r="E72" s="1">
        <v>0.55166999999999999</v>
      </c>
      <c r="F72" s="1">
        <v>-1.188679</v>
      </c>
      <c r="G72" s="1">
        <v>-1.6668639999999999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</row>
    <row r="73" spans="1:26" x14ac:dyDescent="0.35">
      <c r="A73" s="1">
        <v>1300</v>
      </c>
      <c r="B73" s="1">
        <v>10.893999000000001</v>
      </c>
      <c r="C73" s="1">
        <v>40.846826999999998</v>
      </c>
      <c r="D73" s="1">
        <v>115.445382</v>
      </c>
      <c r="E73" s="1">
        <v>-8.7321999999999997E-2</v>
      </c>
      <c r="F73" s="1">
        <v>-0.96127899999999999</v>
      </c>
      <c r="G73" s="1">
        <v>-1.421557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</row>
    <row r="74" spans="1:26" x14ac:dyDescent="0.35">
      <c r="A74" s="1">
        <v>1320</v>
      </c>
      <c r="B74" s="1">
        <v>11.064102</v>
      </c>
      <c r="C74" s="1">
        <v>59.164349000000001</v>
      </c>
      <c r="D74" s="1">
        <v>115.445382</v>
      </c>
      <c r="E74" s="1">
        <v>-2.038948</v>
      </c>
      <c r="F74" s="1">
        <v>-1.661732</v>
      </c>
      <c r="G74" s="1">
        <v>-2.0339320000000001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</row>
    <row r="75" spans="1:26" x14ac:dyDescent="0.35">
      <c r="A75" s="1">
        <v>1340</v>
      </c>
      <c r="B75" s="1">
        <v>11.250949</v>
      </c>
      <c r="C75" s="1">
        <v>52.998184999999999</v>
      </c>
      <c r="D75" s="1">
        <v>115.445382</v>
      </c>
      <c r="E75" s="1">
        <v>-2.531714</v>
      </c>
      <c r="F75" s="1">
        <v>4.2643E-2</v>
      </c>
      <c r="G75" s="1">
        <v>-2.1167340000000001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</row>
    <row r="76" spans="1:26" x14ac:dyDescent="0.35">
      <c r="A76" s="1">
        <v>1360</v>
      </c>
      <c r="B76" s="1">
        <v>11.453116</v>
      </c>
      <c r="C76" s="1">
        <v>65.705742999999998</v>
      </c>
      <c r="D76" s="1">
        <v>115.445382</v>
      </c>
      <c r="E76" s="1">
        <v>-5.0624929999999999</v>
      </c>
      <c r="F76" s="1">
        <v>0.18018600000000001</v>
      </c>
      <c r="G76" s="1">
        <v>-2.096457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</row>
    <row r="77" spans="1:26" x14ac:dyDescent="0.35">
      <c r="A77" s="1">
        <v>1380</v>
      </c>
      <c r="B77" s="1">
        <v>11.625360000000001</v>
      </c>
      <c r="C77" s="1">
        <v>58.732399000000001</v>
      </c>
      <c r="D77" s="1">
        <v>115.445382</v>
      </c>
      <c r="E77" s="1">
        <v>-4.5305780000000002</v>
      </c>
      <c r="F77" s="1">
        <v>0.730267</v>
      </c>
      <c r="G77" s="1">
        <v>-1.733641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</row>
    <row r="78" spans="1:26" x14ac:dyDescent="0.35">
      <c r="A78" s="1">
        <v>1400</v>
      </c>
      <c r="B78" s="1">
        <v>11.787523</v>
      </c>
      <c r="C78" s="1">
        <v>63.001404999999998</v>
      </c>
      <c r="D78" s="1">
        <v>115.445382</v>
      </c>
      <c r="E78" s="1">
        <v>-4.3725459999999998</v>
      </c>
      <c r="F78" s="1">
        <v>0.75529299999999999</v>
      </c>
      <c r="G78" s="1">
        <v>-3.1796980000000001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</row>
    <row r="79" spans="1:26" x14ac:dyDescent="0.35">
      <c r="A79" s="1">
        <v>1420</v>
      </c>
      <c r="B79" s="1">
        <v>11.959902</v>
      </c>
      <c r="C79" s="1">
        <v>54.915283000000002</v>
      </c>
      <c r="D79" s="1">
        <v>115.445382</v>
      </c>
      <c r="E79" s="1">
        <v>-0.38040600000000002</v>
      </c>
      <c r="F79" s="1">
        <v>2.5895999999999999</v>
      </c>
      <c r="G79" s="1">
        <v>-1.614771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</row>
    <row r="80" spans="1:26" x14ac:dyDescent="0.35">
      <c r="A80" s="1">
        <v>1440</v>
      </c>
      <c r="B80" s="1">
        <v>12.120578999999999</v>
      </c>
      <c r="C80" s="1">
        <v>26.455781000000002</v>
      </c>
      <c r="D80" s="1">
        <v>115.445382</v>
      </c>
      <c r="E80" s="1">
        <v>1.2217560000000001</v>
      </c>
      <c r="F80" s="1">
        <v>4.6409940000000001</v>
      </c>
      <c r="G80" s="1">
        <v>-1.5536209999999999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</row>
    <row r="81" spans="1:26" x14ac:dyDescent="0.35">
      <c r="A81" s="1">
        <v>1460</v>
      </c>
      <c r="B81" s="1">
        <v>12.305232999999999</v>
      </c>
      <c r="C81" s="1">
        <v>49.758412</v>
      </c>
      <c r="D81" s="1">
        <v>115.445382</v>
      </c>
      <c r="E81" s="1">
        <v>3.4525700000000001</v>
      </c>
      <c r="F81" s="1">
        <v>5.2176559999999998</v>
      </c>
      <c r="G81" s="1">
        <v>-0.44025799999999998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</row>
    <row r="82" spans="1:26" x14ac:dyDescent="0.35">
      <c r="A82" s="1">
        <v>1480</v>
      </c>
      <c r="B82" s="1">
        <v>12.470162</v>
      </c>
      <c r="C82" s="1">
        <v>52.319296999999999</v>
      </c>
      <c r="D82" s="1">
        <v>115.445382</v>
      </c>
      <c r="E82" s="1">
        <v>3.7724120000000001</v>
      </c>
      <c r="F82" s="1">
        <v>2.7168350000000001</v>
      </c>
      <c r="G82" s="1">
        <v>-0.55442899999999995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</row>
    <row r="83" spans="1:26" x14ac:dyDescent="0.35">
      <c r="A83" s="1">
        <v>1500</v>
      </c>
      <c r="B83" s="1">
        <v>12.633234</v>
      </c>
      <c r="C83" s="1">
        <v>25.867834999999999</v>
      </c>
      <c r="D83" s="1">
        <v>115.445382</v>
      </c>
      <c r="E83" s="1">
        <v>1.8864989999999999</v>
      </c>
      <c r="F83" s="1">
        <v>2.8186059999999999</v>
      </c>
      <c r="G83" s="1">
        <v>-0.61565999999999999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</row>
    <row r="84" spans="1:26" x14ac:dyDescent="0.35">
      <c r="A84" s="1">
        <v>1520</v>
      </c>
      <c r="B84" s="1">
        <v>12.798189000000001</v>
      </c>
      <c r="C84" s="1">
        <v>54.112023000000001</v>
      </c>
      <c r="D84" s="1">
        <v>115.445382</v>
      </c>
      <c r="E84" s="1">
        <v>1.929738</v>
      </c>
      <c r="F84" s="1">
        <v>1.995919</v>
      </c>
      <c r="G84" s="1">
        <v>1.8797569999999999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</row>
    <row r="85" spans="1:26" x14ac:dyDescent="0.35">
      <c r="A85" s="1">
        <v>1540</v>
      </c>
      <c r="B85" s="1">
        <v>12.950615000000001</v>
      </c>
      <c r="C85" s="1">
        <v>48.828518000000003</v>
      </c>
      <c r="D85" s="1">
        <v>115.445382</v>
      </c>
      <c r="E85" s="1">
        <v>1.073874</v>
      </c>
      <c r="F85" s="1">
        <v>1.7014210000000001</v>
      </c>
      <c r="G85" s="1">
        <v>1.8907400000000001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</row>
    <row r="86" spans="1:26" x14ac:dyDescent="0.35">
      <c r="A86" s="1">
        <v>1560</v>
      </c>
      <c r="B86" s="1">
        <v>13.116215</v>
      </c>
      <c r="C86" s="1">
        <v>54.339030999999999</v>
      </c>
      <c r="D86" s="1">
        <v>115.445382</v>
      </c>
      <c r="E86" s="1">
        <v>0.134052</v>
      </c>
      <c r="F86" s="1">
        <v>-0.19817599999999999</v>
      </c>
      <c r="G86" s="1">
        <v>1.420231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</row>
    <row r="87" spans="1:26" x14ac:dyDescent="0.35">
      <c r="A87" s="1">
        <v>1580</v>
      </c>
      <c r="B87" s="1">
        <v>13.294566</v>
      </c>
      <c r="C87" s="1">
        <v>49.718716000000001</v>
      </c>
      <c r="D87" s="1">
        <v>115.445382</v>
      </c>
      <c r="E87" s="1">
        <v>1.5332319999999999</v>
      </c>
      <c r="F87" s="1">
        <v>-1.6468309999999999</v>
      </c>
      <c r="G87" s="1">
        <v>2.2278099999999998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</row>
    <row r="88" spans="1:26" x14ac:dyDescent="0.35">
      <c r="A88" s="1">
        <v>1600</v>
      </c>
      <c r="B88" s="1">
        <v>13.45557</v>
      </c>
      <c r="C88" s="1">
        <v>55.801042000000002</v>
      </c>
      <c r="D88" s="1">
        <v>115.445382</v>
      </c>
      <c r="E88" s="1">
        <v>0.33352900000000002</v>
      </c>
      <c r="F88" s="1">
        <v>-0.52736899999999998</v>
      </c>
      <c r="G88" s="1">
        <v>1.327261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</row>
    <row r="89" spans="1:26" x14ac:dyDescent="0.35">
      <c r="A89" s="1">
        <v>1620</v>
      </c>
      <c r="B89" s="1">
        <v>13.603547000000001</v>
      </c>
      <c r="C89" s="1">
        <v>59.724432</v>
      </c>
      <c r="D89" s="1">
        <v>115.445382</v>
      </c>
      <c r="E89" s="1">
        <v>2.6608930000000002</v>
      </c>
      <c r="F89" s="1">
        <v>-1.7809520000000001</v>
      </c>
      <c r="G89" s="1">
        <v>1.5202599999999999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</row>
    <row r="90" spans="1:26" x14ac:dyDescent="0.35">
      <c r="A90" s="1">
        <v>1640</v>
      </c>
      <c r="B90" s="1">
        <v>13.744545</v>
      </c>
      <c r="C90" s="1">
        <v>59.089568</v>
      </c>
      <c r="D90" s="1">
        <v>115.445382</v>
      </c>
      <c r="E90" s="1">
        <v>3.5704760000000002</v>
      </c>
      <c r="F90" s="1">
        <v>-0.55977399999999999</v>
      </c>
      <c r="G90" s="1">
        <v>0.80692200000000003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</row>
    <row r="91" spans="1:26" x14ac:dyDescent="0.35">
      <c r="A91" s="1">
        <v>1660</v>
      </c>
      <c r="B91" s="1">
        <v>13.883440999999999</v>
      </c>
      <c r="C91" s="1">
        <v>56.344285999999997</v>
      </c>
      <c r="D91" s="1">
        <v>115.445382</v>
      </c>
      <c r="E91" s="1">
        <v>2.668024</v>
      </c>
      <c r="F91" s="1">
        <v>-0.39478999999999997</v>
      </c>
      <c r="G91" s="1">
        <v>1.154253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</row>
    <row r="92" spans="1:26" x14ac:dyDescent="0.35">
      <c r="A92" s="1">
        <v>1680</v>
      </c>
      <c r="B92" s="1">
        <v>14.028143999999999</v>
      </c>
      <c r="C92" s="1">
        <v>54.159053</v>
      </c>
      <c r="D92" s="1">
        <v>115.445382</v>
      </c>
      <c r="E92" s="1">
        <v>1.727752</v>
      </c>
      <c r="F92" s="1">
        <v>0.234988</v>
      </c>
      <c r="G92" s="1">
        <v>0.50431000000000004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</row>
    <row r="93" spans="1:26" x14ac:dyDescent="0.35">
      <c r="A93" s="1">
        <v>1700</v>
      </c>
      <c r="B93" s="1">
        <v>14.176629999999999</v>
      </c>
      <c r="C93" s="1">
        <v>59.732503000000001</v>
      </c>
      <c r="D93" s="1">
        <v>115.445382</v>
      </c>
      <c r="E93" s="1">
        <v>2.5648420000000001</v>
      </c>
      <c r="F93" s="1">
        <v>0.18595</v>
      </c>
      <c r="G93" s="1">
        <v>0.18951200000000001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</row>
    <row r="94" spans="1:26" x14ac:dyDescent="0.35">
      <c r="A94" s="1">
        <v>1720</v>
      </c>
      <c r="B94" s="1">
        <v>14.322507999999999</v>
      </c>
      <c r="C94" s="1">
        <v>57.936646000000003</v>
      </c>
      <c r="D94" s="1">
        <v>115.445382</v>
      </c>
      <c r="E94" s="1">
        <v>2.7249850000000002</v>
      </c>
      <c r="F94" s="1">
        <v>0.81207200000000002</v>
      </c>
      <c r="G94" s="1">
        <v>-9.9060999999999996E-2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</row>
    <row r="95" spans="1:26" x14ac:dyDescent="0.35">
      <c r="A95" s="1">
        <v>1740</v>
      </c>
      <c r="B95" s="1">
        <v>14.493924</v>
      </c>
      <c r="C95" s="1">
        <v>58.531551</v>
      </c>
      <c r="D95" s="1">
        <v>115.445382</v>
      </c>
      <c r="E95" s="1">
        <v>5.052225</v>
      </c>
      <c r="F95" s="1">
        <v>0.408831</v>
      </c>
      <c r="G95" s="1">
        <v>-0.28347800000000001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</row>
    <row r="96" spans="1:26" x14ac:dyDescent="0.35">
      <c r="A96" s="1">
        <v>1760</v>
      </c>
      <c r="B96" s="1">
        <v>14.631911000000001</v>
      </c>
      <c r="C96" s="1">
        <v>58.371338000000002</v>
      </c>
      <c r="D96" s="1">
        <v>115.445382</v>
      </c>
      <c r="E96" s="1">
        <v>3.0132460000000001</v>
      </c>
      <c r="F96" s="1">
        <v>1.0485910000000001</v>
      </c>
      <c r="G96" s="1">
        <v>1.4089419999999999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</row>
    <row r="97" spans="1:26" x14ac:dyDescent="0.35">
      <c r="A97" s="1">
        <v>1780</v>
      </c>
      <c r="B97" s="1">
        <v>14.774317999999999</v>
      </c>
      <c r="C97" s="1">
        <v>60.866796999999998</v>
      </c>
      <c r="D97" s="1">
        <v>115.445382</v>
      </c>
      <c r="E97" s="1">
        <v>-1.5261279999999999</v>
      </c>
      <c r="F97" s="1">
        <v>-0.55993800000000005</v>
      </c>
      <c r="G97" s="1">
        <v>0.51027999999999996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</row>
    <row r="98" spans="1:26" x14ac:dyDescent="0.35">
      <c r="A98" s="1">
        <v>1800</v>
      </c>
      <c r="B98" s="1">
        <v>14.915732</v>
      </c>
      <c r="C98" s="1">
        <v>60.565916999999999</v>
      </c>
      <c r="D98" s="1">
        <v>115.445382</v>
      </c>
      <c r="E98" s="1">
        <v>-2.8044739999999999</v>
      </c>
      <c r="F98" s="1">
        <v>1.628228</v>
      </c>
      <c r="G98" s="1">
        <v>2.3233250000000001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</row>
    <row r="99" spans="1:26" x14ac:dyDescent="0.35">
      <c r="A99" s="1">
        <v>1820</v>
      </c>
      <c r="B99" s="1">
        <v>15.070311</v>
      </c>
      <c r="C99" s="1">
        <v>51.574635000000001</v>
      </c>
      <c r="D99" s="1">
        <v>115.445382</v>
      </c>
      <c r="E99" s="1">
        <v>-4.3932900000000004</v>
      </c>
      <c r="F99" s="1">
        <v>1.0003489999999999</v>
      </c>
      <c r="G99" s="1">
        <v>2.556594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</row>
    <row r="100" spans="1:26" x14ac:dyDescent="0.35">
      <c r="A100" s="1">
        <v>1840</v>
      </c>
      <c r="B100" s="1">
        <v>15.253276</v>
      </c>
      <c r="C100" s="1">
        <v>46.990760999999999</v>
      </c>
      <c r="D100" s="1">
        <v>115.445382</v>
      </c>
      <c r="E100" s="1">
        <v>-4.9927279999999996</v>
      </c>
      <c r="F100" s="1">
        <v>0.91890899999999998</v>
      </c>
      <c r="G100" s="1">
        <v>3.942275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</row>
    <row r="101" spans="1:26" x14ac:dyDescent="0.35">
      <c r="A101" s="1">
        <v>1860</v>
      </c>
      <c r="B101" s="1">
        <v>15.431077999999999</v>
      </c>
      <c r="C101" s="1">
        <v>47.286574999999999</v>
      </c>
      <c r="D101" s="1">
        <v>115.445382</v>
      </c>
      <c r="E101" s="1">
        <v>-4.1301639999999997</v>
      </c>
      <c r="F101" s="1">
        <v>0.42594799999999999</v>
      </c>
      <c r="G101" s="1">
        <v>2.4328829999999999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</row>
    <row r="102" spans="1:26" x14ac:dyDescent="0.35">
      <c r="A102" s="1">
        <v>1880</v>
      </c>
      <c r="B102" s="1">
        <v>15.608525</v>
      </c>
      <c r="C102" s="1">
        <v>48.080784000000001</v>
      </c>
      <c r="D102" s="1">
        <v>115.445382</v>
      </c>
      <c r="E102" s="1">
        <v>-5.768103</v>
      </c>
      <c r="F102" s="1">
        <v>0.37007699999999999</v>
      </c>
      <c r="G102" s="1">
        <v>2.9720399999999998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</row>
    <row r="103" spans="1:26" x14ac:dyDescent="0.35">
      <c r="A103" s="1">
        <v>1900</v>
      </c>
      <c r="B103" s="1">
        <v>15.788777</v>
      </c>
      <c r="C103" s="1">
        <v>47.159101999999997</v>
      </c>
      <c r="D103" s="1">
        <v>115.445382</v>
      </c>
      <c r="E103" s="1">
        <v>-4.6683719999999997</v>
      </c>
      <c r="F103" s="1">
        <v>1.7755890000000001</v>
      </c>
      <c r="G103" s="1">
        <v>2.2014529999999999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</row>
    <row r="104" spans="1:26" x14ac:dyDescent="0.35">
      <c r="A104" s="1">
        <v>1920</v>
      </c>
      <c r="B104" s="1">
        <v>15.964017</v>
      </c>
      <c r="C104" s="1">
        <v>49.941389000000001</v>
      </c>
      <c r="D104" s="1">
        <v>115.445382</v>
      </c>
      <c r="E104" s="1">
        <v>-4.1824139999999996</v>
      </c>
      <c r="F104" s="1">
        <v>3.8840110000000001</v>
      </c>
      <c r="G104" s="1">
        <v>0.58150800000000002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</row>
    <row r="105" spans="1:26" x14ac:dyDescent="0.35">
      <c r="A105" s="1">
        <v>1940</v>
      </c>
      <c r="B105" s="1">
        <v>16.137632</v>
      </c>
      <c r="C105" s="1">
        <v>52.525123000000001</v>
      </c>
      <c r="D105" s="1">
        <v>115.445382</v>
      </c>
      <c r="E105" s="1">
        <v>-4.035463</v>
      </c>
      <c r="F105" s="1">
        <v>3.3642660000000002</v>
      </c>
      <c r="G105" s="1">
        <v>0.34436600000000001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</row>
    <row r="106" spans="1:26" x14ac:dyDescent="0.35">
      <c r="A106" s="1">
        <v>1960</v>
      </c>
      <c r="B106" s="1">
        <v>16.312066999999999</v>
      </c>
      <c r="C106" s="1">
        <v>51.452644999999997</v>
      </c>
      <c r="D106" s="1">
        <v>115.445382</v>
      </c>
      <c r="E106" s="1">
        <v>-1.871332</v>
      </c>
      <c r="F106" s="1">
        <v>1.84168</v>
      </c>
      <c r="G106" s="1">
        <v>-1.3930709999999999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</row>
    <row r="107" spans="1:26" x14ac:dyDescent="0.35">
      <c r="A107" s="1">
        <v>1980</v>
      </c>
      <c r="B107" s="1">
        <v>16.478079000000001</v>
      </c>
      <c r="C107" s="1">
        <v>54.486744999999999</v>
      </c>
      <c r="D107" s="1">
        <v>115.445382</v>
      </c>
      <c r="E107" s="1">
        <v>-3.3041119999999999</v>
      </c>
      <c r="F107" s="1">
        <v>1.360357</v>
      </c>
      <c r="G107" s="1">
        <v>-2.4018190000000001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</row>
    <row r="108" spans="1:26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</row>
    <row r="109" spans="1:26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</row>
    <row r="110" spans="1:26" x14ac:dyDescent="0.35">
      <c r="A110" t="s">
        <v>42</v>
      </c>
      <c r="B110" s="1">
        <v>9</v>
      </c>
      <c r="C110" s="1">
        <v>16</v>
      </c>
      <c r="D110" s="1">
        <v>24</v>
      </c>
      <c r="E110" s="1">
        <v>31</v>
      </c>
      <c r="F110" s="1">
        <v>35</v>
      </c>
      <c r="G110" s="1">
        <v>60</v>
      </c>
      <c r="H110" s="1">
        <v>72</v>
      </c>
      <c r="I110" s="1">
        <v>70</v>
      </c>
      <c r="J110" s="1">
        <v>76</v>
      </c>
      <c r="K110" s="1">
        <v>71</v>
      </c>
      <c r="L110" s="1">
        <v>91</v>
      </c>
      <c r="M110" s="1">
        <v>74</v>
      </c>
      <c r="N110" s="1">
        <v>77</v>
      </c>
      <c r="O110" s="1">
        <v>70</v>
      </c>
      <c r="P110" s="1">
        <v>41</v>
      </c>
      <c r="Q110" s="1">
        <v>48</v>
      </c>
      <c r="R110" s="1">
        <v>36</v>
      </c>
      <c r="S110" s="1">
        <v>34</v>
      </c>
      <c r="T110" s="1">
        <v>22</v>
      </c>
      <c r="U110" s="1">
        <v>17</v>
      </c>
      <c r="V110" s="1">
        <v>6</v>
      </c>
      <c r="W110" s="1">
        <v>10</v>
      </c>
      <c r="X110" s="1">
        <v>5</v>
      </c>
      <c r="Y110" s="1">
        <v>4</v>
      </c>
      <c r="Z11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9422-D2DE-47C2-9364-DEDD531F22E0}">
  <dimension ref="A1:AD110"/>
  <sheetViews>
    <sheetView topLeftCell="A95" workbookViewId="0">
      <selection activeCell="B3" sqref="A1:AD110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30" width="11.542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</row>
    <row r="2" spans="1:30" x14ac:dyDescent="0.35">
      <c r="A2" t="s">
        <v>29</v>
      </c>
      <c r="B2" s="1">
        <v>8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 spans="1:30" x14ac:dyDescent="0.35">
      <c r="A3" t="s">
        <v>31</v>
      </c>
      <c r="B3" s="1">
        <v>1000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 spans="1:30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35">
      <c r="A5" t="s">
        <v>33</v>
      </c>
      <c r="B5" s="1">
        <v>4000000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</row>
    <row r="7" spans="1:30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</row>
    <row r="8" spans="1:30" x14ac:dyDescent="0.35">
      <c r="A8" s="1">
        <v>0</v>
      </c>
      <c r="B8" s="1">
        <v>1.1183E-2</v>
      </c>
      <c r="C8" s="1">
        <v>0</v>
      </c>
      <c r="D8" s="1">
        <v>114.790211</v>
      </c>
      <c r="E8" s="1">
        <v>99.820939999999993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 spans="1:30" x14ac:dyDescent="0.35">
      <c r="A9" s="1">
        <v>20</v>
      </c>
      <c r="B9" s="1">
        <v>0.30208699999999999</v>
      </c>
      <c r="C9" s="1">
        <v>5.9602310000000003</v>
      </c>
      <c r="D9" s="1">
        <v>114.790211</v>
      </c>
      <c r="E9" s="1">
        <v>61.784191999999997</v>
      </c>
      <c r="F9" s="1">
        <v>-0.13144</v>
      </c>
      <c r="G9" s="1">
        <v>-5.3673999999999999E-2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35">
      <c r="A10" s="1">
        <v>40</v>
      </c>
      <c r="B10" s="1">
        <v>0.69931399999999999</v>
      </c>
      <c r="C10" s="1">
        <v>63.284526</v>
      </c>
      <c r="D10" s="1">
        <v>114.790211</v>
      </c>
      <c r="E10" s="1">
        <v>14.029916999999999</v>
      </c>
      <c r="F10" s="1">
        <v>7.6953999999999995E-2</v>
      </c>
      <c r="G10" s="1">
        <v>-0.66981500000000005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 spans="1:30" x14ac:dyDescent="0.35">
      <c r="A11" s="1">
        <v>60</v>
      </c>
      <c r="B11" s="1">
        <v>0.84935899999999998</v>
      </c>
      <c r="C11" s="1">
        <v>92.478391000000002</v>
      </c>
      <c r="D11" s="1">
        <v>114.790211</v>
      </c>
      <c r="E11" s="1">
        <v>0.14453199999999999</v>
      </c>
      <c r="F11" s="1">
        <v>-0.46035199999999998</v>
      </c>
      <c r="G11" s="1">
        <v>-0.23854500000000001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35">
      <c r="A12" s="1">
        <v>80</v>
      </c>
      <c r="B12" s="1">
        <v>0.98684300000000003</v>
      </c>
      <c r="C12" s="1">
        <v>105.325086</v>
      </c>
      <c r="D12" s="1">
        <v>114.790211</v>
      </c>
      <c r="E12" s="1">
        <v>-15.093756000000001</v>
      </c>
      <c r="F12" s="1">
        <v>-0.29446099999999997</v>
      </c>
      <c r="G12" s="1">
        <v>-1.1405160000000001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 spans="1:30" x14ac:dyDescent="0.35">
      <c r="A13" s="1">
        <v>100</v>
      </c>
      <c r="B13" s="1">
        <v>1.214914</v>
      </c>
      <c r="C13" s="1">
        <v>36.380226999999998</v>
      </c>
      <c r="D13" s="1">
        <v>114.790211</v>
      </c>
      <c r="E13" s="1">
        <v>-37.763295999999997</v>
      </c>
      <c r="F13" s="1">
        <v>-1.0223580000000001</v>
      </c>
      <c r="G13" s="1">
        <v>-0.79836099999999999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 spans="1:30" x14ac:dyDescent="0.35">
      <c r="A14" s="1">
        <v>120</v>
      </c>
      <c r="B14" s="1">
        <v>1.429691</v>
      </c>
      <c r="C14" s="1">
        <v>116.250908</v>
      </c>
      <c r="D14" s="1">
        <v>114.790211</v>
      </c>
      <c r="E14" s="1">
        <v>-37.976264999999998</v>
      </c>
      <c r="F14" s="1">
        <v>-1.932374</v>
      </c>
      <c r="G14" s="1">
        <v>-0.27929399999999999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</row>
    <row r="15" spans="1:30" x14ac:dyDescent="0.35">
      <c r="A15" s="1">
        <v>140</v>
      </c>
      <c r="B15" s="1">
        <v>1.5823529999999999</v>
      </c>
      <c r="C15" s="1">
        <v>116.873158</v>
      </c>
      <c r="D15" s="1">
        <v>114.790211</v>
      </c>
      <c r="E15" s="1">
        <v>-33.562539000000001</v>
      </c>
      <c r="F15" s="1">
        <v>-1.4395849999999999</v>
      </c>
      <c r="G15" s="1">
        <v>2.1580050000000002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</row>
    <row r="16" spans="1:30" x14ac:dyDescent="0.35">
      <c r="A16" s="1">
        <v>160</v>
      </c>
      <c r="B16" s="1">
        <v>1.727244</v>
      </c>
      <c r="C16" s="1">
        <v>120.107581</v>
      </c>
      <c r="D16" s="1">
        <v>114.790211</v>
      </c>
      <c r="E16" s="1">
        <v>-31.344377000000001</v>
      </c>
      <c r="F16" s="1">
        <v>-0.39262799999999998</v>
      </c>
      <c r="G16" s="1">
        <v>2.53742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  <row r="17" spans="1:30" x14ac:dyDescent="0.35">
      <c r="A17" s="1">
        <v>180</v>
      </c>
      <c r="B17" s="1">
        <v>1.8740270000000001</v>
      </c>
      <c r="C17" s="1">
        <v>113.192025</v>
      </c>
      <c r="D17" s="1">
        <v>114.790211</v>
      </c>
      <c r="E17" s="1">
        <v>-22.267944</v>
      </c>
      <c r="F17" s="1">
        <v>-0.26810200000000001</v>
      </c>
      <c r="G17" s="1">
        <v>1.112932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</row>
    <row r="18" spans="1:30" x14ac:dyDescent="0.35">
      <c r="A18" s="1">
        <v>200</v>
      </c>
      <c r="B18" s="1">
        <v>2.0296720000000001</v>
      </c>
      <c r="C18" s="1">
        <v>98.978757999999999</v>
      </c>
      <c r="D18" s="1">
        <v>114.790211</v>
      </c>
      <c r="E18" s="1">
        <v>-12.26207</v>
      </c>
      <c r="F18" s="1">
        <v>1.7167730000000001</v>
      </c>
      <c r="G18" s="1">
        <v>0.73102999999999996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</row>
    <row r="19" spans="1:30" x14ac:dyDescent="0.35">
      <c r="A19" s="1">
        <v>220</v>
      </c>
      <c r="B19" s="1">
        <v>2.1695570000000002</v>
      </c>
      <c r="C19" s="1">
        <v>92.868002000000004</v>
      </c>
      <c r="D19" s="1">
        <v>114.790211</v>
      </c>
      <c r="E19" s="1">
        <v>-5.0231389999999996</v>
      </c>
      <c r="F19" s="1">
        <v>1.1163670000000001</v>
      </c>
      <c r="G19" s="1">
        <v>1.0885119999999999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</row>
    <row r="20" spans="1:30" x14ac:dyDescent="0.35">
      <c r="A20" s="1">
        <v>240</v>
      </c>
      <c r="B20" s="1">
        <v>2.3074349999999999</v>
      </c>
      <c r="C20" s="1">
        <v>85.648075000000006</v>
      </c>
      <c r="D20" s="1">
        <v>114.790211</v>
      </c>
      <c r="E20" s="1">
        <v>3.020397</v>
      </c>
      <c r="F20" s="1">
        <v>0.91569699999999998</v>
      </c>
      <c r="G20" s="1">
        <v>0.323521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</row>
    <row r="21" spans="1:30" x14ac:dyDescent="0.35">
      <c r="A21" s="1">
        <v>260</v>
      </c>
      <c r="B21" s="1">
        <v>2.4497550000000001</v>
      </c>
      <c r="C21" s="1">
        <v>84.649101999999999</v>
      </c>
      <c r="D21" s="1">
        <v>114.790211</v>
      </c>
      <c r="E21" s="1">
        <v>3.4099140000000001</v>
      </c>
      <c r="F21" s="1">
        <v>0.50886500000000001</v>
      </c>
      <c r="G21" s="1">
        <v>0.42881000000000002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</row>
    <row r="22" spans="1:30" x14ac:dyDescent="0.35">
      <c r="A22" s="1">
        <v>280</v>
      </c>
      <c r="B22" s="1">
        <v>2.592333</v>
      </c>
      <c r="C22" s="1">
        <v>83.296802999999997</v>
      </c>
      <c r="D22" s="1">
        <v>114.790211</v>
      </c>
      <c r="E22" s="1">
        <v>2.9612750000000001</v>
      </c>
      <c r="F22" s="1">
        <v>0.63420900000000002</v>
      </c>
      <c r="G22" s="1">
        <v>0.25821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</row>
    <row r="23" spans="1:30" x14ac:dyDescent="0.35">
      <c r="A23" s="1">
        <v>300</v>
      </c>
      <c r="B23" s="1">
        <v>2.7385649999999999</v>
      </c>
      <c r="C23" s="1">
        <v>86.643799999999999</v>
      </c>
      <c r="D23" s="1">
        <v>114.790211</v>
      </c>
      <c r="E23" s="1">
        <v>0.88106300000000004</v>
      </c>
      <c r="F23" s="1">
        <v>9.3341999999999994E-2</v>
      </c>
      <c r="G23" s="1">
        <v>-1.2083379999999999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</row>
    <row r="24" spans="1:30" x14ac:dyDescent="0.35">
      <c r="A24" s="1">
        <v>320</v>
      </c>
      <c r="B24" s="1">
        <v>2.8812739999999999</v>
      </c>
      <c r="C24" s="1">
        <v>85.807783000000001</v>
      </c>
      <c r="D24" s="1">
        <v>114.790211</v>
      </c>
      <c r="E24" s="1">
        <v>1.633192</v>
      </c>
      <c r="F24" s="1">
        <v>1.3243929999999999</v>
      </c>
      <c r="G24" s="1">
        <v>-0.99458599999999997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</row>
    <row r="25" spans="1:30" x14ac:dyDescent="0.35">
      <c r="A25" s="1">
        <v>340</v>
      </c>
      <c r="B25" s="1">
        <v>3.0217239999999999</v>
      </c>
      <c r="C25" s="1">
        <v>95.95205</v>
      </c>
      <c r="D25" s="1">
        <v>114.790211</v>
      </c>
      <c r="E25" s="1">
        <v>-4.6985070000000002</v>
      </c>
      <c r="F25" s="1">
        <v>0.287352</v>
      </c>
      <c r="G25" s="1">
        <v>-0.97740800000000005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</row>
    <row r="26" spans="1:30" x14ac:dyDescent="0.35">
      <c r="A26" s="1">
        <v>360</v>
      </c>
      <c r="B26" s="1">
        <v>3.15923</v>
      </c>
      <c r="C26" s="1">
        <v>98.641105999999994</v>
      </c>
      <c r="D26" s="1">
        <v>114.790211</v>
      </c>
      <c r="E26" s="1">
        <v>-5.7890280000000001</v>
      </c>
      <c r="F26" s="1">
        <v>-0.987819</v>
      </c>
      <c r="G26" s="1">
        <v>-1.4576249999999999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</row>
    <row r="27" spans="1:30" x14ac:dyDescent="0.35">
      <c r="A27" s="1">
        <v>380</v>
      </c>
      <c r="B27" s="1">
        <v>3.2959079999999998</v>
      </c>
      <c r="C27" s="1">
        <v>102.98138299999999</v>
      </c>
      <c r="D27" s="1">
        <v>114.790211</v>
      </c>
      <c r="E27" s="1">
        <v>-8.5038319999999992</v>
      </c>
      <c r="F27" s="1">
        <v>-0.55726100000000001</v>
      </c>
      <c r="G27" s="1">
        <v>-1.6936089999999999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</row>
    <row r="28" spans="1:30" x14ac:dyDescent="0.35">
      <c r="A28" s="1">
        <v>400</v>
      </c>
      <c r="B28" s="1">
        <v>3.4335330000000002</v>
      </c>
      <c r="C28" s="1">
        <v>92.188366000000002</v>
      </c>
      <c r="D28" s="1">
        <v>114.790211</v>
      </c>
      <c r="E28" s="1">
        <v>-7.73217</v>
      </c>
      <c r="F28" s="1">
        <v>-0.90838300000000005</v>
      </c>
      <c r="G28" s="1">
        <v>-0.37830399999999997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</row>
    <row r="29" spans="1:30" x14ac:dyDescent="0.35">
      <c r="A29" s="1">
        <v>420</v>
      </c>
      <c r="B29" s="1">
        <v>3.5934550000000001</v>
      </c>
      <c r="C29" s="1">
        <v>101.876952</v>
      </c>
      <c r="D29" s="1">
        <v>114.790211</v>
      </c>
      <c r="E29" s="1">
        <v>-8.6328800000000001</v>
      </c>
      <c r="F29" s="1">
        <v>-2.4922569999999999</v>
      </c>
      <c r="G29" s="1">
        <v>-0.64422999999999997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</row>
    <row r="30" spans="1:30" x14ac:dyDescent="0.35">
      <c r="A30" s="1">
        <v>440</v>
      </c>
      <c r="B30" s="1">
        <v>3.734804</v>
      </c>
      <c r="C30" s="1">
        <v>104.166299</v>
      </c>
      <c r="D30" s="1">
        <v>114.790211</v>
      </c>
      <c r="E30" s="1">
        <v>-9.0083040000000008</v>
      </c>
      <c r="F30" s="1">
        <v>-2.3188279999999999</v>
      </c>
      <c r="G30" s="1">
        <v>-0.741533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</row>
    <row r="31" spans="1:30" x14ac:dyDescent="0.35">
      <c r="A31" s="1">
        <v>460</v>
      </c>
      <c r="B31" s="1">
        <v>3.8721890000000001</v>
      </c>
      <c r="C31" s="1">
        <v>100.09836300000001</v>
      </c>
      <c r="D31" s="1">
        <v>114.790211</v>
      </c>
      <c r="E31" s="1">
        <v>-5.9383160000000004</v>
      </c>
      <c r="F31" s="1">
        <v>-2.2244429999999999</v>
      </c>
      <c r="G31" s="1">
        <v>0.48766700000000002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</row>
    <row r="32" spans="1:30" x14ac:dyDescent="0.35">
      <c r="A32" s="1">
        <v>480</v>
      </c>
      <c r="B32" s="1">
        <v>4.0079370000000001</v>
      </c>
      <c r="C32" s="1">
        <v>91.565498000000005</v>
      </c>
      <c r="D32" s="1">
        <v>114.790211</v>
      </c>
      <c r="E32" s="1">
        <v>-3.5209800000000002</v>
      </c>
      <c r="F32" s="1">
        <v>-1.080778</v>
      </c>
      <c r="G32" s="1">
        <v>3.0150079999999999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</row>
    <row r="33" spans="1:30" x14ac:dyDescent="0.35">
      <c r="A33" s="1">
        <v>500</v>
      </c>
      <c r="B33" s="1">
        <v>4.1515919999999999</v>
      </c>
      <c r="C33" s="1">
        <v>85.620108000000002</v>
      </c>
      <c r="D33" s="1">
        <v>114.790211</v>
      </c>
      <c r="E33" s="1">
        <v>1.5695509999999999</v>
      </c>
      <c r="F33" s="1">
        <v>0.67282399999999998</v>
      </c>
      <c r="G33" s="1">
        <v>3.4854910000000001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</row>
    <row r="34" spans="1:30" x14ac:dyDescent="0.35">
      <c r="A34" s="1">
        <v>520</v>
      </c>
      <c r="B34" s="1">
        <v>4.2904090000000004</v>
      </c>
      <c r="C34" s="1">
        <v>82.855744000000001</v>
      </c>
      <c r="D34" s="1">
        <v>114.790211</v>
      </c>
      <c r="E34" s="1">
        <v>3.1514660000000001</v>
      </c>
      <c r="F34" s="1">
        <v>0.78487099999999999</v>
      </c>
      <c r="G34" s="1">
        <v>3.2240410000000002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</row>
    <row r="35" spans="1:30" x14ac:dyDescent="0.35">
      <c r="A35" s="1">
        <v>540</v>
      </c>
      <c r="B35" s="1">
        <v>4.4320550000000001</v>
      </c>
      <c r="C35" s="1">
        <v>81.192018000000004</v>
      </c>
      <c r="D35" s="1">
        <v>114.790211</v>
      </c>
      <c r="E35" s="1">
        <v>5.3008850000000001</v>
      </c>
      <c r="F35" s="1">
        <v>0.13749600000000001</v>
      </c>
      <c r="G35" s="1">
        <v>3.1578059999999999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</row>
    <row r="36" spans="1:30" x14ac:dyDescent="0.35">
      <c r="A36" s="1">
        <v>560</v>
      </c>
      <c r="B36" s="1">
        <v>4.5696709999999996</v>
      </c>
      <c r="C36" s="1">
        <v>82.459078000000005</v>
      </c>
      <c r="D36" s="1">
        <v>114.790211</v>
      </c>
      <c r="E36" s="1">
        <v>4.1413270000000004</v>
      </c>
      <c r="F36" s="1">
        <v>0.89346199999999998</v>
      </c>
      <c r="G36" s="1">
        <v>2.2763010000000001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</row>
    <row r="37" spans="1:30" x14ac:dyDescent="0.35">
      <c r="A37" s="1">
        <v>580</v>
      </c>
      <c r="B37" s="1">
        <v>4.7108939999999997</v>
      </c>
      <c r="C37" s="1">
        <v>85.901734000000005</v>
      </c>
      <c r="D37" s="1">
        <v>114.790211</v>
      </c>
      <c r="E37" s="1">
        <v>4.6865560000000004</v>
      </c>
      <c r="F37" s="1">
        <v>-1.8680000000000001E-3</v>
      </c>
      <c r="G37" s="1">
        <v>-0.13358100000000001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</row>
    <row r="38" spans="1:30" x14ac:dyDescent="0.35">
      <c r="A38" s="1">
        <v>600</v>
      </c>
      <c r="B38" s="1">
        <v>4.8517429999999999</v>
      </c>
      <c r="C38" s="1">
        <v>90.454877999999994</v>
      </c>
      <c r="D38" s="1">
        <v>114.790211</v>
      </c>
      <c r="E38" s="1">
        <v>4.4527760000000001</v>
      </c>
      <c r="F38" s="1">
        <v>1.2232620000000001</v>
      </c>
      <c r="G38" s="1">
        <v>-3.3958490000000001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</row>
    <row r="39" spans="1:30" x14ac:dyDescent="0.35">
      <c r="A39" s="1">
        <v>620</v>
      </c>
      <c r="B39" s="1">
        <v>4.9921810000000004</v>
      </c>
      <c r="C39" s="1">
        <v>93.396739999999994</v>
      </c>
      <c r="D39" s="1">
        <v>114.790211</v>
      </c>
      <c r="E39" s="1">
        <v>1.5189429999999999</v>
      </c>
      <c r="F39" s="1">
        <v>0.62411099999999997</v>
      </c>
      <c r="G39" s="1">
        <v>-2.6765370000000002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</row>
    <row r="40" spans="1:30" x14ac:dyDescent="0.35">
      <c r="A40" s="1">
        <v>640</v>
      </c>
      <c r="B40" s="1">
        <v>5.1419949999999996</v>
      </c>
      <c r="C40" s="1">
        <v>94.581919999999997</v>
      </c>
      <c r="D40" s="1">
        <v>114.790211</v>
      </c>
      <c r="E40" s="1">
        <v>0.470084</v>
      </c>
      <c r="F40" s="1">
        <v>0.70753500000000003</v>
      </c>
      <c r="G40" s="1">
        <v>-5.0199769999999999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</row>
    <row r="41" spans="1:30" x14ac:dyDescent="0.35">
      <c r="A41" s="1">
        <v>660</v>
      </c>
      <c r="B41" s="1">
        <v>5.2830709999999996</v>
      </c>
      <c r="C41" s="1">
        <v>97.156763999999995</v>
      </c>
      <c r="D41" s="1">
        <v>114.790211</v>
      </c>
      <c r="E41" s="1">
        <v>-1.708663</v>
      </c>
      <c r="F41" s="1">
        <v>0.44053599999999998</v>
      </c>
      <c r="G41" s="1">
        <v>-3.2899409999999998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</row>
    <row r="42" spans="1:30" x14ac:dyDescent="0.35">
      <c r="A42" s="1">
        <v>680</v>
      </c>
      <c r="B42" s="1">
        <v>5.4248219999999998</v>
      </c>
      <c r="C42" s="1">
        <v>96.744101000000001</v>
      </c>
      <c r="D42" s="1">
        <v>114.790211</v>
      </c>
      <c r="E42" s="1">
        <v>-2.2884250000000002</v>
      </c>
      <c r="F42" s="1">
        <v>0.59965900000000005</v>
      </c>
      <c r="G42" s="1">
        <v>-2.2402150000000001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</row>
    <row r="43" spans="1:30" x14ac:dyDescent="0.35">
      <c r="A43" s="1">
        <v>700</v>
      </c>
      <c r="B43" s="1">
        <v>5.5611899999999999</v>
      </c>
      <c r="C43" s="1">
        <v>93.170001999999997</v>
      </c>
      <c r="D43" s="1">
        <v>114.790211</v>
      </c>
      <c r="E43" s="1">
        <v>-1.103729</v>
      </c>
      <c r="F43" s="1">
        <v>0.67814300000000005</v>
      </c>
      <c r="G43" s="1">
        <v>-1.8081670000000001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</row>
    <row r="44" spans="1:30" x14ac:dyDescent="0.35">
      <c r="A44" s="1">
        <v>720</v>
      </c>
      <c r="B44" s="1">
        <v>5.7006110000000003</v>
      </c>
      <c r="C44" s="1">
        <v>92.445046000000005</v>
      </c>
      <c r="D44" s="1">
        <v>114.790211</v>
      </c>
      <c r="E44" s="1">
        <v>-1.5182150000000001</v>
      </c>
      <c r="F44" s="1">
        <v>-0.54564900000000005</v>
      </c>
      <c r="G44" s="1">
        <v>-1.0649569999999999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</row>
    <row r="45" spans="1:30" x14ac:dyDescent="0.35">
      <c r="A45" s="1">
        <v>740</v>
      </c>
      <c r="B45" s="1">
        <v>5.8380219999999996</v>
      </c>
      <c r="C45" s="1">
        <v>91.716956999999994</v>
      </c>
      <c r="D45" s="1">
        <v>114.790211</v>
      </c>
      <c r="E45" s="1">
        <v>-7.2501999999999997E-2</v>
      </c>
      <c r="F45" s="1">
        <v>4.2983E-2</v>
      </c>
      <c r="G45" s="1">
        <v>-0.423323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</row>
    <row r="46" spans="1:30" x14ac:dyDescent="0.35">
      <c r="A46" s="1">
        <v>760</v>
      </c>
      <c r="B46" s="1">
        <v>5.9741039999999996</v>
      </c>
      <c r="C46" s="1">
        <v>92.728605000000002</v>
      </c>
      <c r="D46" s="1">
        <v>114.790211</v>
      </c>
      <c r="E46" s="1">
        <v>0.56951700000000005</v>
      </c>
      <c r="F46" s="1">
        <v>0.63549199999999995</v>
      </c>
      <c r="G46" s="1">
        <v>-0.47459699999999999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</row>
    <row r="47" spans="1:30" x14ac:dyDescent="0.35">
      <c r="A47" s="1">
        <v>780</v>
      </c>
      <c r="B47" s="1">
        <v>6.1100070000000004</v>
      </c>
      <c r="C47" s="1">
        <v>92.754203000000004</v>
      </c>
      <c r="D47" s="1">
        <v>114.790211</v>
      </c>
      <c r="E47" s="1">
        <v>0.93717799999999996</v>
      </c>
      <c r="F47" s="1">
        <v>-1.3315840000000001</v>
      </c>
      <c r="G47" s="1">
        <v>-0.53204300000000004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</row>
    <row r="48" spans="1:30" x14ac:dyDescent="0.35">
      <c r="A48" s="1">
        <v>800</v>
      </c>
      <c r="B48" s="1">
        <v>6.2503650000000004</v>
      </c>
      <c r="C48" s="1">
        <v>84.811989999999994</v>
      </c>
      <c r="D48" s="1">
        <v>114.790211</v>
      </c>
      <c r="E48" s="1">
        <v>3.005E-2</v>
      </c>
      <c r="F48" s="1">
        <v>-0.91634300000000002</v>
      </c>
      <c r="G48" s="1">
        <v>0.56123599999999996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</row>
    <row r="49" spans="1:30" x14ac:dyDescent="0.35">
      <c r="A49" s="1">
        <v>820</v>
      </c>
      <c r="B49" s="1">
        <v>6.3889889999999996</v>
      </c>
      <c r="C49" s="1">
        <v>84.056250000000006</v>
      </c>
      <c r="D49" s="1">
        <v>114.790211</v>
      </c>
      <c r="E49" s="1">
        <v>1.4114120000000001</v>
      </c>
      <c r="F49" s="1">
        <v>0.54715800000000003</v>
      </c>
      <c r="G49" s="1">
        <v>2.0705230000000001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</row>
    <row r="50" spans="1:30" x14ac:dyDescent="0.35">
      <c r="A50" s="1">
        <v>840</v>
      </c>
      <c r="B50" s="1">
        <v>6.5304310000000001</v>
      </c>
      <c r="C50" s="1">
        <v>68.731494999999995</v>
      </c>
      <c r="D50" s="1">
        <v>114.790211</v>
      </c>
      <c r="E50" s="1">
        <v>0.81945199999999996</v>
      </c>
      <c r="F50" s="1">
        <v>0.44379400000000002</v>
      </c>
      <c r="G50" s="1">
        <v>2.9483350000000002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</row>
    <row r="51" spans="1:30" x14ac:dyDescent="0.35">
      <c r="A51" s="1">
        <v>860</v>
      </c>
      <c r="B51" s="1">
        <v>6.6788470000000002</v>
      </c>
      <c r="C51" s="1">
        <v>88.579756000000003</v>
      </c>
      <c r="D51" s="1">
        <v>114.790211</v>
      </c>
      <c r="E51" s="1">
        <v>-0.13899700000000001</v>
      </c>
      <c r="F51" s="1">
        <v>1.3529549999999999</v>
      </c>
      <c r="G51" s="1">
        <v>3.6367289999999999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</row>
    <row r="52" spans="1:30" x14ac:dyDescent="0.35">
      <c r="A52" s="1">
        <v>880</v>
      </c>
      <c r="B52" s="1">
        <v>6.8184519999999997</v>
      </c>
      <c r="C52" s="1">
        <v>85.672173000000001</v>
      </c>
      <c r="D52" s="1">
        <v>114.790211</v>
      </c>
      <c r="E52" s="1">
        <v>0.596719</v>
      </c>
      <c r="F52" s="1">
        <v>2.1320760000000001</v>
      </c>
      <c r="G52" s="1">
        <v>1.734219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</row>
    <row r="53" spans="1:30" x14ac:dyDescent="0.35">
      <c r="A53" s="1">
        <v>900</v>
      </c>
      <c r="B53" s="1">
        <v>6.9568750000000001</v>
      </c>
      <c r="C53" s="1">
        <v>89.437933999999998</v>
      </c>
      <c r="D53" s="1">
        <v>114.790211</v>
      </c>
      <c r="E53" s="1">
        <v>-1.842422</v>
      </c>
      <c r="F53" s="1">
        <v>2.043806</v>
      </c>
      <c r="G53" s="1">
        <v>1.1762950000000001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</row>
    <row r="54" spans="1:30" x14ac:dyDescent="0.35">
      <c r="A54" s="1">
        <v>920</v>
      </c>
      <c r="B54" s="1">
        <v>7.0931959999999998</v>
      </c>
      <c r="C54" s="1">
        <v>74.087101000000004</v>
      </c>
      <c r="D54" s="1">
        <v>114.790211</v>
      </c>
      <c r="E54" s="1">
        <v>-0.29857099999999998</v>
      </c>
      <c r="F54" s="1">
        <v>2.0558779999999999</v>
      </c>
      <c r="G54" s="1">
        <v>-0.92266000000000004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</row>
    <row r="55" spans="1:30" x14ac:dyDescent="0.35">
      <c r="A55" s="1">
        <v>940</v>
      </c>
      <c r="B55" s="1">
        <v>7.2324700000000002</v>
      </c>
      <c r="C55" s="1">
        <v>92.419469000000007</v>
      </c>
      <c r="D55" s="1">
        <v>114.790211</v>
      </c>
      <c r="E55" s="1">
        <v>2.0970770000000001</v>
      </c>
      <c r="F55" s="1">
        <v>-0.28495599999999999</v>
      </c>
      <c r="G55" s="1">
        <v>-1.9461619999999999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</row>
    <row r="56" spans="1:30" x14ac:dyDescent="0.35">
      <c r="A56" s="1">
        <v>960</v>
      </c>
      <c r="B56" s="1">
        <v>7.3722560000000001</v>
      </c>
      <c r="C56" s="1">
        <v>96.423278999999994</v>
      </c>
      <c r="D56" s="1">
        <v>114.790211</v>
      </c>
      <c r="E56" s="1">
        <v>0.384743</v>
      </c>
      <c r="F56" s="1">
        <v>-2.07748</v>
      </c>
      <c r="G56" s="1">
        <v>-2.0603509999999998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</row>
    <row r="57" spans="1:30" x14ac:dyDescent="0.35">
      <c r="A57" s="1">
        <v>980</v>
      </c>
      <c r="B57" s="1">
        <v>7.5104490000000004</v>
      </c>
      <c r="C57" s="1">
        <v>97.525492999999997</v>
      </c>
      <c r="D57" s="1">
        <v>114.790211</v>
      </c>
      <c r="E57" s="1">
        <v>-2.4164159999999999</v>
      </c>
      <c r="F57" s="1">
        <v>-1.5296860000000001</v>
      </c>
      <c r="G57" s="1">
        <v>-1.2156400000000001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</row>
    <row r="58" spans="1:30" x14ac:dyDescent="0.35">
      <c r="A58" s="1">
        <v>1000</v>
      </c>
      <c r="B58" s="1">
        <v>7.6469100000000001</v>
      </c>
      <c r="C58" s="1">
        <v>93.982169999999996</v>
      </c>
      <c r="D58" s="1">
        <v>114.790211</v>
      </c>
      <c r="E58" s="1">
        <v>-2.7478750000000001</v>
      </c>
      <c r="F58" s="1">
        <v>-1.205746</v>
      </c>
      <c r="G58" s="1">
        <v>0.14305499999999999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</row>
    <row r="59" spans="1:30" x14ac:dyDescent="0.35">
      <c r="A59" s="1">
        <v>1020</v>
      </c>
      <c r="B59" s="1">
        <v>7.7859930000000004</v>
      </c>
      <c r="C59" s="1">
        <v>94.721436999999995</v>
      </c>
      <c r="D59" s="1">
        <v>114.790211</v>
      </c>
      <c r="E59" s="1">
        <v>-4.1476110000000004</v>
      </c>
      <c r="F59" s="1">
        <v>-0.49597599999999997</v>
      </c>
      <c r="G59" s="1">
        <v>1.095402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</row>
    <row r="60" spans="1:30" x14ac:dyDescent="0.35">
      <c r="A60" s="1">
        <v>1040</v>
      </c>
      <c r="B60" s="1">
        <v>7.9253489999999998</v>
      </c>
      <c r="C60" s="1">
        <v>92.369395999999995</v>
      </c>
      <c r="D60" s="1">
        <v>114.790211</v>
      </c>
      <c r="E60" s="1">
        <v>-5.0977759999999996</v>
      </c>
      <c r="F60" s="1">
        <v>-0.65087799999999996</v>
      </c>
      <c r="G60" s="1">
        <v>2.4720469999999999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</row>
    <row r="61" spans="1:30" x14ac:dyDescent="0.35">
      <c r="A61" s="1">
        <v>1060</v>
      </c>
      <c r="B61" s="1">
        <v>8.0656300000000005</v>
      </c>
      <c r="C61" s="1">
        <v>91.579718999999997</v>
      </c>
      <c r="D61" s="1">
        <v>114.790211</v>
      </c>
      <c r="E61" s="1">
        <v>-4.1282360000000002</v>
      </c>
      <c r="F61" s="1">
        <v>-2.137947</v>
      </c>
      <c r="G61" s="1">
        <v>3.3332130000000002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</row>
    <row r="62" spans="1:30" x14ac:dyDescent="0.35">
      <c r="A62" s="1">
        <v>1080</v>
      </c>
      <c r="B62" s="1">
        <v>8.2093860000000003</v>
      </c>
      <c r="C62" s="1">
        <v>93.530861999999999</v>
      </c>
      <c r="D62" s="1">
        <v>114.790211</v>
      </c>
      <c r="E62" s="1">
        <v>-2.0033620000000001</v>
      </c>
      <c r="F62" s="1">
        <v>-2.3404630000000002</v>
      </c>
      <c r="G62" s="1">
        <v>0.58345199999999997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</row>
    <row r="63" spans="1:30" x14ac:dyDescent="0.35">
      <c r="A63" s="1">
        <v>1100</v>
      </c>
      <c r="B63" s="1">
        <v>8.3483999999999998</v>
      </c>
      <c r="C63" s="1">
        <v>93.870369999999994</v>
      </c>
      <c r="D63" s="1">
        <v>114.790211</v>
      </c>
      <c r="E63" s="1">
        <v>-1.8872100000000001</v>
      </c>
      <c r="F63" s="1">
        <v>-2.4331559999999999</v>
      </c>
      <c r="G63" s="1">
        <v>-0.83280299999999996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</row>
    <row r="64" spans="1:30" x14ac:dyDescent="0.35">
      <c r="A64" s="1">
        <v>1120</v>
      </c>
      <c r="B64" s="1">
        <v>8.4907810000000001</v>
      </c>
      <c r="C64" s="1">
        <v>92.189850000000007</v>
      </c>
      <c r="D64" s="1">
        <v>114.790211</v>
      </c>
      <c r="E64" s="1">
        <v>-0.95343900000000004</v>
      </c>
      <c r="F64" s="1">
        <v>-1.882277</v>
      </c>
      <c r="G64" s="1">
        <v>-1.572451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</row>
    <row r="65" spans="1:30" x14ac:dyDescent="0.35">
      <c r="A65" s="1">
        <v>1140</v>
      </c>
      <c r="B65" s="1">
        <v>8.6446850000000008</v>
      </c>
      <c r="C65" s="1">
        <v>92.667237999999998</v>
      </c>
      <c r="D65" s="1">
        <v>114.790211</v>
      </c>
      <c r="E65" s="1">
        <v>-1.3488880000000001</v>
      </c>
      <c r="F65" s="1">
        <v>-0.10780000000000001</v>
      </c>
      <c r="G65" s="1">
        <v>-0.67857400000000001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</row>
    <row r="66" spans="1:30" x14ac:dyDescent="0.35">
      <c r="A66" s="1">
        <v>1160</v>
      </c>
      <c r="B66" s="1">
        <v>8.7919699999999992</v>
      </c>
      <c r="C66" s="1">
        <v>90.960935000000006</v>
      </c>
      <c r="D66" s="1">
        <v>114.790211</v>
      </c>
      <c r="E66" s="1">
        <v>0.50316300000000003</v>
      </c>
      <c r="F66" s="1">
        <v>0.64296900000000001</v>
      </c>
      <c r="G66" s="1">
        <v>-1.1566369999999999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</row>
    <row r="67" spans="1:30" x14ac:dyDescent="0.35">
      <c r="A67" s="1">
        <v>1180</v>
      </c>
      <c r="B67" s="1">
        <v>8.9315909999999992</v>
      </c>
      <c r="C67" s="1">
        <v>92.922759999999997</v>
      </c>
      <c r="D67" s="1">
        <v>114.790211</v>
      </c>
      <c r="E67" s="1">
        <v>1.1123879999999999</v>
      </c>
      <c r="F67" s="1">
        <v>-0.58315600000000001</v>
      </c>
      <c r="G67" s="1">
        <v>-1.4499439999999999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</row>
    <row r="68" spans="1:30" x14ac:dyDescent="0.35">
      <c r="A68" s="1">
        <v>1200</v>
      </c>
      <c r="B68" s="1">
        <v>9.0718370000000004</v>
      </c>
      <c r="C68" s="1">
        <v>84.059888000000001</v>
      </c>
      <c r="D68" s="1">
        <v>114.790211</v>
      </c>
      <c r="E68" s="1">
        <v>1.6031850000000001</v>
      </c>
      <c r="F68" s="1">
        <v>-3.7303999999999997E-2</v>
      </c>
      <c r="G68" s="1">
        <v>1.629227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</row>
    <row r="69" spans="1:30" x14ac:dyDescent="0.35">
      <c r="A69" s="1">
        <v>1220</v>
      </c>
      <c r="B69" s="1">
        <v>9.2297010000000004</v>
      </c>
      <c r="C69" s="1">
        <v>50.984166000000002</v>
      </c>
      <c r="D69" s="1">
        <v>114.790211</v>
      </c>
      <c r="E69" s="1">
        <v>2.388881</v>
      </c>
      <c r="F69" s="1">
        <v>1.7820739999999999</v>
      </c>
      <c r="G69" s="1">
        <v>2.747862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</row>
    <row r="70" spans="1:30" x14ac:dyDescent="0.35">
      <c r="A70" s="1">
        <v>1240</v>
      </c>
      <c r="B70" s="1">
        <v>9.3921559999999999</v>
      </c>
      <c r="C70" s="1">
        <v>62.945653999999998</v>
      </c>
      <c r="D70" s="1">
        <v>114.790211</v>
      </c>
      <c r="E70" s="1">
        <v>1.1697059999999999</v>
      </c>
      <c r="F70" s="1">
        <v>2.7642250000000002</v>
      </c>
      <c r="G70" s="1">
        <v>3.0628160000000002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</row>
    <row r="71" spans="1:30" x14ac:dyDescent="0.35">
      <c r="A71" s="1">
        <v>1260</v>
      </c>
      <c r="B71" s="1">
        <v>9.5418789999999998</v>
      </c>
      <c r="C71" s="1">
        <v>81.653255000000001</v>
      </c>
      <c r="D71" s="1">
        <v>114.790211</v>
      </c>
      <c r="E71" s="1">
        <v>0.17227200000000001</v>
      </c>
      <c r="F71" s="1">
        <v>3.2805170000000001</v>
      </c>
      <c r="G71" s="1">
        <v>4.1744399999999997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</row>
    <row r="72" spans="1:30" x14ac:dyDescent="0.35">
      <c r="A72" s="1">
        <v>1280</v>
      </c>
      <c r="B72" s="1">
        <v>9.6826670000000004</v>
      </c>
      <c r="C72" s="1">
        <v>86.785632000000007</v>
      </c>
      <c r="D72" s="1">
        <v>114.790211</v>
      </c>
      <c r="E72" s="1">
        <v>-0.43623699999999999</v>
      </c>
      <c r="F72" s="1">
        <v>3.289739</v>
      </c>
      <c r="G72" s="1">
        <v>0.93115199999999998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</row>
    <row r="73" spans="1:30" x14ac:dyDescent="0.35">
      <c r="A73" s="1">
        <v>1300</v>
      </c>
      <c r="B73" s="1">
        <v>9.8189720000000005</v>
      </c>
      <c r="C73" s="1">
        <v>91.645993000000004</v>
      </c>
      <c r="D73" s="1">
        <v>114.790211</v>
      </c>
      <c r="E73" s="1">
        <v>-0.57684999999999997</v>
      </c>
      <c r="F73" s="1">
        <v>2.1935959999999999</v>
      </c>
      <c r="G73" s="1">
        <v>0.21043300000000001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</row>
    <row r="74" spans="1:30" x14ac:dyDescent="0.35">
      <c r="A74" s="1">
        <v>1320</v>
      </c>
      <c r="B74" s="1">
        <v>9.9578279999999992</v>
      </c>
      <c r="C74" s="1">
        <v>91.13279</v>
      </c>
      <c r="D74" s="1">
        <v>114.790211</v>
      </c>
      <c r="E74" s="1">
        <v>-0.60212100000000002</v>
      </c>
      <c r="F74" s="1">
        <v>3.592876</v>
      </c>
      <c r="G74" s="1">
        <v>-0.967692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</row>
    <row r="75" spans="1:30" x14ac:dyDescent="0.35">
      <c r="A75" s="1">
        <v>1340</v>
      </c>
      <c r="B75" s="1">
        <v>10.093812</v>
      </c>
      <c r="C75" s="1">
        <v>91.297454999999999</v>
      </c>
      <c r="D75" s="1">
        <v>114.790211</v>
      </c>
      <c r="E75" s="1">
        <v>-1.074146</v>
      </c>
      <c r="F75" s="1">
        <v>2.2393369999999999</v>
      </c>
      <c r="G75" s="1">
        <v>-2.0416910000000001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</row>
    <row r="76" spans="1:30" x14ac:dyDescent="0.35">
      <c r="A76" s="1">
        <v>1360</v>
      </c>
      <c r="B76" s="1">
        <v>10.236003</v>
      </c>
      <c r="C76" s="1">
        <v>93.157200000000003</v>
      </c>
      <c r="D76" s="1">
        <v>114.790211</v>
      </c>
      <c r="E76" s="1">
        <v>-1.2471410000000001</v>
      </c>
      <c r="F76" s="1">
        <v>2.541903</v>
      </c>
      <c r="G76" s="1">
        <v>-5.4268239999999999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</row>
    <row r="77" spans="1:30" x14ac:dyDescent="0.35">
      <c r="A77" s="1">
        <v>1380</v>
      </c>
      <c r="B77" s="1">
        <v>10.374705000000001</v>
      </c>
      <c r="C77" s="1">
        <v>81.196752000000004</v>
      </c>
      <c r="D77" s="1">
        <v>114.790211</v>
      </c>
      <c r="E77" s="1">
        <v>-0.207117</v>
      </c>
      <c r="F77" s="1">
        <v>1.066608</v>
      </c>
      <c r="G77" s="1">
        <v>-4.16622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</row>
    <row r="78" spans="1:30" x14ac:dyDescent="0.35">
      <c r="A78" s="1">
        <v>1400</v>
      </c>
      <c r="B78" s="1">
        <v>10.513221</v>
      </c>
      <c r="C78" s="1">
        <v>91.162302999999994</v>
      </c>
      <c r="D78" s="1">
        <v>114.790211</v>
      </c>
      <c r="E78" s="1">
        <v>0.96557199999999999</v>
      </c>
      <c r="F78" s="1">
        <v>0.829573</v>
      </c>
      <c r="G78" s="1">
        <v>-5.7373260000000004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</row>
    <row r="79" spans="1:30" x14ac:dyDescent="0.35">
      <c r="A79" s="1">
        <v>1420</v>
      </c>
      <c r="B79" s="1">
        <v>10.654366</v>
      </c>
      <c r="C79" s="1">
        <v>90.859202999999994</v>
      </c>
      <c r="D79" s="1">
        <v>114.790211</v>
      </c>
      <c r="E79" s="1">
        <v>3.020699</v>
      </c>
      <c r="F79" s="1">
        <v>-1.7767010000000001</v>
      </c>
      <c r="G79" s="1">
        <v>-4.3963359999999998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</row>
    <row r="80" spans="1:30" x14ac:dyDescent="0.35">
      <c r="A80" s="1">
        <v>1440</v>
      </c>
      <c r="B80" s="1">
        <v>10.795716000000001</v>
      </c>
      <c r="C80" s="1">
        <v>93.312843000000001</v>
      </c>
      <c r="D80" s="1">
        <v>114.790211</v>
      </c>
      <c r="E80" s="1">
        <v>2.5863900000000002</v>
      </c>
      <c r="F80" s="1">
        <v>-3.545693</v>
      </c>
      <c r="G80" s="1">
        <v>0.33979199999999998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</row>
    <row r="81" spans="1:30" x14ac:dyDescent="0.35">
      <c r="A81" s="1">
        <v>1460</v>
      </c>
      <c r="B81" s="1">
        <v>10.931293</v>
      </c>
      <c r="C81" s="1">
        <v>88.474041</v>
      </c>
      <c r="D81" s="1">
        <v>114.790211</v>
      </c>
      <c r="E81" s="1">
        <v>3.3493339999999998</v>
      </c>
      <c r="F81" s="1">
        <v>-1.3969240000000001</v>
      </c>
      <c r="G81" s="1">
        <v>2.877138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</row>
    <row r="82" spans="1:30" x14ac:dyDescent="0.35">
      <c r="A82" s="1">
        <v>1480</v>
      </c>
      <c r="B82" s="1">
        <v>11.067644</v>
      </c>
      <c r="C82" s="1">
        <v>82.683108000000004</v>
      </c>
      <c r="D82" s="1">
        <v>114.790211</v>
      </c>
      <c r="E82" s="1">
        <v>4.865469</v>
      </c>
      <c r="F82" s="1">
        <v>0.21065700000000001</v>
      </c>
      <c r="G82" s="1">
        <v>3.9005529999999999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</row>
    <row r="83" spans="1:30" x14ac:dyDescent="0.35">
      <c r="A83" s="1">
        <v>1500</v>
      </c>
      <c r="B83" s="1">
        <v>11.208413999999999</v>
      </c>
      <c r="C83" s="1">
        <v>82.803051999999994</v>
      </c>
      <c r="D83" s="1">
        <v>114.790211</v>
      </c>
      <c r="E83" s="1">
        <v>3.856474</v>
      </c>
      <c r="F83" s="1">
        <v>-0.89703200000000005</v>
      </c>
      <c r="G83" s="1">
        <v>5.0243019999999996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</row>
    <row r="84" spans="1:30" x14ac:dyDescent="0.35">
      <c r="A84" s="1">
        <v>1520</v>
      </c>
      <c r="B84" s="1">
        <v>11.349928999999999</v>
      </c>
      <c r="C84" s="1">
        <v>84.615780000000001</v>
      </c>
      <c r="D84" s="1">
        <v>114.790211</v>
      </c>
      <c r="E84" s="1">
        <v>1.3469439999999999</v>
      </c>
      <c r="F84" s="1">
        <v>-1.3104690000000001</v>
      </c>
      <c r="G84" s="1">
        <v>4.3446350000000002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</row>
    <row r="85" spans="1:30" x14ac:dyDescent="0.35">
      <c r="A85" s="1">
        <v>1540</v>
      </c>
      <c r="B85" s="1">
        <v>11.492184</v>
      </c>
      <c r="C85" s="1">
        <v>85.287118000000007</v>
      </c>
      <c r="D85" s="1">
        <v>114.790211</v>
      </c>
      <c r="E85" s="1">
        <v>1.579467</v>
      </c>
      <c r="F85" s="1">
        <v>-0.98420700000000005</v>
      </c>
      <c r="G85" s="1">
        <v>3.1923849999999998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</row>
    <row r="86" spans="1:30" x14ac:dyDescent="0.35">
      <c r="A86" s="1">
        <v>1560</v>
      </c>
      <c r="B86" s="1">
        <v>11.630165999999999</v>
      </c>
      <c r="C86" s="1">
        <v>93.563270000000003</v>
      </c>
      <c r="D86" s="1">
        <v>114.790211</v>
      </c>
      <c r="E86" s="1">
        <v>1.03644</v>
      </c>
      <c r="F86" s="1">
        <v>-1.737352</v>
      </c>
      <c r="G86" s="1">
        <v>-6.3902E-2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</row>
    <row r="87" spans="1:30" x14ac:dyDescent="0.35">
      <c r="A87" s="1">
        <v>1580</v>
      </c>
      <c r="B87" s="1">
        <v>11.767885</v>
      </c>
      <c r="C87" s="1">
        <v>92.929355000000001</v>
      </c>
      <c r="D87" s="1">
        <v>114.790211</v>
      </c>
      <c r="E87" s="1">
        <v>0.70161399999999996</v>
      </c>
      <c r="F87" s="1">
        <v>-2.2983180000000001</v>
      </c>
      <c r="G87" s="1">
        <v>-0.85668699999999998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</row>
    <row r="88" spans="1:30" x14ac:dyDescent="0.35">
      <c r="A88" s="1">
        <v>1600</v>
      </c>
      <c r="B88" s="1">
        <v>11.908965</v>
      </c>
      <c r="C88" s="1">
        <v>93.870971999999995</v>
      </c>
      <c r="D88" s="1">
        <v>114.790211</v>
      </c>
      <c r="E88" s="1">
        <v>-0.39099</v>
      </c>
      <c r="F88" s="1">
        <v>-1.3634269999999999</v>
      </c>
      <c r="G88" s="1">
        <v>-0.69443699999999997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</row>
    <row r="89" spans="1:30" x14ac:dyDescent="0.35">
      <c r="A89" s="1">
        <v>1620</v>
      </c>
      <c r="B89" s="1">
        <v>12.049089</v>
      </c>
      <c r="C89" s="1">
        <v>94.892827999999994</v>
      </c>
      <c r="D89" s="1">
        <v>114.790211</v>
      </c>
      <c r="E89" s="1">
        <v>-1.8547199999999999</v>
      </c>
      <c r="F89" s="1">
        <v>-0.56908800000000004</v>
      </c>
      <c r="G89" s="1">
        <v>-0.187884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</row>
    <row r="90" spans="1:30" x14ac:dyDescent="0.35">
      <c r="A90" s="1">
        <v>1640</v>
      </c>
      <c r="B90" s="1">
        <v>12.188753</v>
      </c>
      <c r="C90" s="1">
        <v>95.033475999999993</v>
      </c>
      <c r="D90" s="1">
        <v>114.790211</v>
      </c>
      <c r="E90" s="1">
        <v>-1.85554</v>
      </c>
      <c r="F90" s="1">
        <v>0.43508400000000003</v>
      </c>
      <c r="G90" s="1">
        <v>-1.4662219999999999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</row>
    <row r="91" spans="1:30" x14ac:dyDescent="0.35">
      <c r="A91" s="1">
        <v>1660</v>
      </c>
      <c r="B91" s="1">
        <v>12.32658</v>
      </c>
      <c r="C91" s="1">
        <v>90.861537999999996</v>
      </c>
      <c r="D91" s="1">
        <v>114.790211</v>
      </c>
      <c r="E91" s="1">
        <v>-2.1823109999999999</v>
      </c>
      <c r="F91" s="1">
        <v>0.57068799999999997</v>
      </c>
      <c r="G91" s="1">
        <v>-1.121764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</row>
    <row r="92" spans="1:30" x14ac:dyDescent="0.35">
      <c r="A92" s="1">
        <v>1680</v>
      </c>
      <c r="B92" s="1">
        <v>12.47048</v>
      </c>
      <c r="C92" s="1">
        <v>93.144375999999994</v>
      </c>
      <c r="D92" s="1">
        <v>114.790211</v>
      </c>
      <c r="E92" s="1">
        <v>-0.831565</v>
      </c>
      <c r="F92" s="1">
        <v>1.0924860000000001</v>
      </c>
      <c r="G92" s="1">
        <v>-0.95841100000000001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</row>
    <row r="93" spans="1:30" x14ac:dyDescent="0.35">
      <c r="A93" s="1">
        <v>1700</v>
      </c>
      <c r="B93" s="1">
        <v>12.614508000000001</v>
      </c>
      <c r="C93" s="1">
        <v>90.218208000000004</v>
      </c>
      <c r="D93" s="1">
        <v>114.790211</v>
      </c>
      <c r="E93" s="1">
        <v>-0.23235</v>
      </c>
      <c r="F93" s="1">
        <v>1.141921</v>
      </c>
      <c r="G93" s="1">
        <v>-1.173103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</row>
    <row r="94" spans="1:30" x14ac:dyDescent="0.35">
      <c r="A94" s="1">
        <v>1720</v>
      </c>
      <c r="B94" s="1">
        <v>12.753876</v>
      </c>
      <c r="C94" s="1">
        <v>94.881542999999994</v>
      </c>
      <c r="D94" s="1">
        <v>114.790211</v>
      </c>
      <c r="E94" s="1">
        <v>-1.250658</v>
      </c>
      <c r="F94" s="1">
        <v>0.753189</v>
      </c>
      <c r="G94" s="1">
        <v>-1.4538120000000001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</row>
    <row r="95" spans="1:30" x14ac:dyDescent="0.35">
      <c r="A95" s="1">
        <v>1740</v>
      </c>
      <c r="B95" s="1">
        <v>12.895113</v>
      </c>
      <c r="C95" s="1">
        <v>94.400881999999996</v>
      </c>
      <c r="D95" s="1">
        <v>114.790211</v>
      </c>
      <c r="E95" s="1">
        <v>-1.8864460000000001</v>
      </c>
      <c r="F95" s="1">
        <v>1.0065390000000001</v>
      </c>
      <c r="G95" s="1">
        <v>-0.87601200000000001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</row>
    <row r="96" spans="1:30" x14ac:dyDescent="0.35">
      <c r="A96" s="1">
        <v>1760</v>
      </c>
      <c r="B96" s="1">
        <v>13.032861</v>
      </c>
      <c r="C96" s="1">
        <v>95.152327999999997</v>
      </c>
      <c r="D96" s="1">
        <v>114.790211</v>
      </c>
      <c r="E96" s="1">
        <v>-1.3456680000000001</v>
      </c>
      <c r="F96" s="1">
        <v>0.69991099999999995</v>
      </c>
      <c r="G96" s="1">
        <v>-2.1136029999999999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</row>
    <row r="97" spans="1:30" x14ac:dyDescent="0.35">
      <c r="A97" s="1">
        <v>1780</v>
      </c>
      <c r="B97" s="1">
        <v>13.169195</v>
      </c>
      <c r="C97" s="1">
        <v>87.320633000000001</v>
      </c>
      <c r="D97" s="1">
        <v>114.790211</v>
      </c>
      <c r="E97" s="1">
        <v>-2.2934030000000001</v>
      </c>
      <c r="F97" s="1">
        <v>0.88960600000000001</v>
      </c>
      <c r="G97" s="1">
        <v>-1.310643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</row>
    <row r="98" spans="1:30" x14ac:dyDescent="0.35">
      <c r="A98" s="1">
        <v>1800</v>
      </c>
      <c r="B98" s="1">
        <v>13.307071000000001</v>
      </c>
      <c r="C98" s="1">
        <v>93.867142999999999</v>
      </c>
      <c r="D98" s="1">
        <v>114.790211</v>
      </c>
      <c r="E98" s="1">
        <v>-1.296476</v>
      </c>
      <c r="F98" s="1">
        <v>2.020187</v>
      </c>
      <c r="G98" s="1">
        <v>-1.14537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</row>
    <row r="99" spans="1:30" x14ac:dyDescent="0.35">
      <c r="A99" s="1">
        <v>1820</v>
      </c>
      <c r="B99" s="1">
        <v>13.442238</v>
      </c>
      <c r="C99" s="1">
        <v>88.144808999999995</v>
      </c>
      <c r="D99" s="1">
        <v>114.790211</v>
      </c>
      <c r="E99" s="1">
        <v>0.36440699999999998</v>
      </c>
      <c r="F99" s="1">
        <v>1.9714590000000001</v>
      </c>
      <c r="G99" s="1">
        <v>-0.84222200000000003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</row>
    <row r="100" spans="1:30" x14ac:dyDescent="0.35">
      <c r="A100" s="1">
        <v>1840</v>
      </c>
      <c r="B100" s="1">
        <v>13.597162000000001</v>
      </c>
      <c r="C100" s="1">
        <v>82.330667000000005</v>
      </c>
      <c r="D100" s="1">
        <v>114.790211</v>
      </c>
      <c r="E100" s="1">
        <v>1.7482500000000001</v>
      </c>
      <c r="F100" s="1">
        <v>2.5036</v>
      </c>
      <c r="G100" s="1">
        <v>1.324846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</row>
    <row r="101" spans="1:30" x14ac:dyDescent="0.35">
      <c r="A101" s="1">
        <v>1860</v>
      </c>
      <c r="B101" s="1">
        <v>13.737451999999999</v>
      </c>
      <c r="C101" s="1">
        <v>83.928517999999997</v>
      </c>
      <c r="D101" s="1">
        <v>114.790211</v>
      </c>
      <c r="E101" s="1">
        <v>2.5287600000000001</v>
      </c>
      <c r="F101" s="1">
        <v>2.2345250000000001</v>
      </c>
      <c r="G101" s="1">
        <v>1.2994300000000001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</row>
    <row r="102" spans="1:30" x14ac:dyDescent="0.35">
      <c r="A102" s="1">
        <v>1880</v>
      </c>
      <c r="B102" s="1">
        <v>13.880663999999999</v>
      </c>
      <c r="C102" s="1">
        <v>84.059961000000001</v>
      </c>
      <c r="D102" s="1">
        <v>114.790211</v>
      </c>
      <c r="E102" s="1">
        <v>2.1207980000000002</v>
      </c>
      <c r="F102" s="1">
        <v>1.396774</v>
      </c>
      <c r="G102" s="1">
        <v>0.80049300000000001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</row>
    <row r="103" spans="1:30" x14ac:dyDescent="0.35">
      <c r="A103" s="1">
        <v>1900</v>
      </c>
      <c r="B103" s="1">
        <v>14.019347</v>
      </c>
      <c r="C103" s="1">
        <v>87.968467000000004</v>
      </c>
      <c r="D103" s="1">
        <v>114.790211</v>
      </c>
      <c r="E103" s="1">
        <v>2.0557370000000001</v>
      </c>
      <c r="F103" s="1">
        <v>-2.1627360000000002</v>
      </c>
      <c r="G103" s="1">
        <v>-0.39411600000000002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</row>
    <row r="104" spans="1:30" x14ac:dyDescent="0.35">
      <c r="A104" s="1">
        <v>1920</v>
      </c>
      <c r="B104" s="1">
        <v>14.162535999999999</v>
      </c>
      <c r="C104" s="1">
        <v>87.719621000000004</v>
      </c>
      <c r="D104" s="1">
        <v>114.790211</v>
      </c>
      <c r="E104" s="1">
        <v>1.447192</v>
      </c>
      <c r="F104" s="1">
        <v>-0.62684600000000001</v>
      </c>
      <c r="G104" s="1">
        <v>-0.109945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</row>
    <row r="105" spans="1:30" x14ac:dyDescent="0.35">
      <c r="A105" s="1">
        <v>1940</v>
      </c>
      <c r="B105" s="1">
        <v>14.304352</v>
      </c>
      <c r="C105" s="1">
        <v>90.604011</v>
      </c>
      <c r="D105" s="1">
        <v>114.790211</v>
      </c>
      <c r="E105" s="1">
        <v>2.002786</v>
      </c>
      <c r="F105" s="1">
        <v>0.75080599999999997</v>
      </c>
      <c r="G105" s="1">
        <v>-0.13698299999999999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</row>
    <row r="106" spans="1:30" x14ac:dyDescent="0.35">
      <c r="A106" s="1">
        <v>1960</v>
      </c>
      <c r="B106" s="1">
        <v>14.440484</v>
      </c>
      <c r="C106" s="1">
        <v>91.063710999999998</v>
      </c>
      <c r="D106" s="1">
        <v>114.790211</v>
      </c>
      <c r="E106" s="1">
        <v>2.1113620000000002</v>
      </c>
      <c r="F106" s="1">
        <v>0.47049299999999999</v>
      </c>
      <c r="G106" s="1">
        <v>-1.217541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</row>
    <row r="107" spans="1:30" x14ac:dyDescent="0.35">
      <c r="A107" s="1">
        <v>1980</v>
      </c>
      <c r="B107" s="1">
        <v>14.582762000000001</v>
      </c>
      <c r="C107" s="1">
        <v>89.789510000000007</v>
      </c>
      <c r="D107" s="1">
        <v>114.790211</v>
      </c>
      <c r="E107" s="1">
        <v>0.92617799999999995</v>
      </c>
      <c r="F107" s="1">
        <v>0.95650000000000002</v>
      </c>
      <c r="G107" s="1">
        <v>1.5933999999999999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</row>
    <row r="108" spans="1:30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</row>
    <row r="109" spans="1:30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</row>
    <row r="110" spans="1:30" x14ac:dyDescent="0.35">
      <c r="A110" t="s">
        <v>42</v>
      </c>
      <c r="B110" s="1">
        <v>0</v>
      </c>
      <c r="C110" s="1">
        <v>7</v>
      </c>
      <c r="D110" s="1">
        <v>11</v>
      </c>
      <c r="E110" s="1">
        <v>28</v>
      </c>
      <c r="F110" s="1">
        <v>52</v>
      </c>
      <c r="G110" s="1">
        <v>69</v>
      </c>
      <c r="H110" s="1">
        <v>66</v>
      </c>
      <c r="I110" s="1">
        <v>72</v>
      </c>
      <c r="J110" s="1">
        <v>86</v>
      </c>
      <c r="K110" s="1">
        <v>80</v>
      </c>
      <c r="L110" s="1">
        <v>86</v>
      </c>
      <c r="M110" s="1">
        <v>94</v>
      </c>
      <c r="N110" s="1">
        <v>78</v>
      </c>
      <c r="O110" s="1">
        <v>60</v>
      </c>
      <c r="P110" s="1">
        <v>52</v>
      </c>
      <c r="Q110" s="1">
        <v>37</v>
      </c>
      <c r="R110" s="1">
        <v>39</v>
      </c>
      <c r="S110" s="1">
        <v>17</v>
      </c>
      <c r="T110" s="1">
        <v>21</v>
      </c>
      <c r="U110" s="1">
        <v>17</v>
      </c>
      <c r="V110" s="1">
        <v>9</v>
      </c>
      <c r="W110" s="1">
        <v>8</v>
      </c>
      <c r="X110" s="1">
        <v>8</v>
      </c>
      <c r="Y110" s="1">
        <v>0</v>
      </c>
      <c r="Z110" s="1">
        <v>2</v>
      </c>
      <c r="AA110" s="1">
        <v>0</v>
      </c>
      <c r="AB110" s="1">
        <v>0</v>
      </c>
      <c r="AC110" s="1">
        <v>0</v>
      </c>
      <c r="AD11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CD0F-84AB-47E6-9683-9939D96D0E37}">
  <dimension ref="A1:AD110"/>
  <sheetViews>
    <sheetView topLeftCell="A99" workbookViewId="0">
      <selection activeCell="B3" sqref="B3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30" width="11.542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</row>
    <row r="2" spans="1:30" x14ac:dyDescent="0.35">
      <c r="A2" t="s">
        <v>29</v>
      </c>
      <c r="B2" s="1">
        <v>7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 spans="1:30" x14ac:dyDescent="0.35">
      <c r="A3" t="s">
        <v>31</v>
      </c>
      <c r="B3" s="1">
        <v>1000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 spans="1:30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35">
      <c r="A5" t="s">
        <v>33</v>
      </c>
      <c r="B5" s="1">
        <v>2000000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</row>
    <row r="7" spans="1:30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</row>
    <row r="8" spans="1:30" x14ac:dyDescent="0.35">
      <c r="A8" s="1">
        <v>0</v>
      </c>
      <c r="B8" s="1">
        <v>1.1642E-2</v>
      </c>
      <c r="C8" s="1">
        <v>0</v>
      </c>
      <c r="D8" s="1">
        <v>113.573975</v>
      </c>
      <c r="E8" s="1">
        <v>98.490871999999996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 spans="1:30" x14ac:dyDescent="0.35">
      <c r="A9" s="1">
        <v>20</v>
      </c>
      <c r="B9" s="1">
        <v>0.34249400000000002</v>
      </c>
      <c r="C9" s="1">
        <v>22.892659999999999</v>
      </c>
      <c r="D9" s="1">
        <v>113.573975</v>
      </c>
      <c r="E9" s="1">
        <v>56.790049000000003</v>
      </c>
      <c r="F9" s="1">
        <v>-3.1073E-2</v>
      </c>
      <c r="G9" s="1">
        <v>-0.13969500000000001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35">
      <c r="A10" s="1">
        <v>40</v>
      </c>
      <c r="B10" s="1">
        <v>0.50251500000000004</v>
      </c>
      <c r="C10" s="1">
        <v>89.636803</v>
      </c>
      <c r="D10" s="1">
        <v>113.573975</v>
      </c>
      <c r="E10" s="1">
        <v>38.636603000000001</v>
      </c>
      <c r="F10" s="1">
        <v>-1.5789000000000001E-2</v>
      </c>
      <c r="G10" s="1">
        <v>3.1217000000000002E-2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 spans="1:30" x14ac:dyDescent="0.35">
      <c r="A11" s="1">
        <v>60</v>
      </c>
      <c r="B11" s="1">
        <v>0.643262</v>
      </c>
      <c r="C11" s="1">
        <v>109.372675</v>
      </c>
      <c r="D11" s="1">
        <v>113.573975</v>
      </c>
      <c r="E11" s="1">
        <v>23.158849</v>
      </c>
      <c r="F11" s="1">
        <v>-0.50756599999999996</v>
      </c>
      <c r="G11" s="1">
        <v>0.573689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35">
      <c r="A12" s="1">
        <v>80</v>
      </c>
      <c r="B12" s="1">
        <v>0.78342400000000001</v>
      </c>
      <c r="C12" s="1">
        <v>131.70361800000001</v>
      </c>
      <c r="D12" s="1">
        <v>113.573975</v>
      </c>
      <c r="E12" s="1">
        <v>9.9347650000000005</v>
      </c>
      <c r="F12" s="1">
        <v>0.24635399999999999</v>
      </c>
      <c r="G12" s="1">
        <v>0.31724799999999997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 spans="1:30" x14ac:dyDescent="0.35">
      <c r="A13" s="1">
        <v>100</v>
      </c>
      <c r="B13" s="1">
        <v>0.919964</v>
      </c>
      <c r="C13" s="1">
        <v>144.44970499999999</v>
      </c>
      <c r="D13" s="1">
        <v>113.573975</v>
      </c>
      <c r="E13" s="1">
        <v>-5.1906230000000004</v>
      </c>
      <c r="F13" s="1">
        <v>1.3238620000000001</v>
      </c>
      <c r="G13" s="1">
        <v>-1.286475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 spans="1:30" x14ac:dyDescent="0.35">
      <c r="A14" s="1">
        <v>120</v>
      </c>
      <c r="B14" s="1">
        <v>1.0561</v>
      </c>
      <c r="C14" s="1">
        <v>111.302408</v>
      </c>
      <c r="D14" s="1">
        <v>113.573975</v>
      </c>
      <c r="E14" s="1">
        <v>-17.82292</v>
      </c>
      <c r="F14" s="1">
        <v>-0.33541700000000002</v>
      </c>
      <c r="G14" s="1">
        <v>-1.6218429999999999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</row>
    <row r="15" spans="1:30" x14ac:dyDescent="0.35">
      <c r="A15" s="1">
        <v>140</v>
      </c>
      <c r="B15" s="1">
        <v>1.313528</v>
      </c>
      <c r="C15" s="1">
        <v>72.109224999999995</v>
      </c>
      <c r="D15" s="1">
        <v>113.573975</v>
      </c>
      <c r="E15" s="1">
        <v>-31.483311</v>
      </c>
      <c r="F15" s="1">
        <v>-0.93391800000000003</v>
      </c>
      <c r="G15" s="1">
        <v>-0.53620100000000004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</row>
    <row r="16" spans="1:30" x14ac:dyDescent="0.35">
      <c r="A16" s="1">
        <v>160</v>
      </c>
      <c r="B16" s="1">
        <v>1.473409</v>
      </c>
      <c r="C16" s="1">
        <v>181.712423</v>
      </c>
      <c r="D16" s="1">
        <v>113.573975</v>
      </c>
      <c r="E16" s="1">
        <v>-32.357937999999997</v>
      </c>
      <c r="F16" s="1">
        <v>-1.614377</v>
      </c>
      <c r="G16" s="1">
        <v>0.95245500000000005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  <row r="17" spans="1:30" x14ac:dyDescent="0.35">
      <c r="A17" s="1">
        <v>180</v>
      </c>
      <c r="B17" s="1">
        <v>1.609745</v>
      </c>
      <c r="C17" s="1">
        <v>192.09827899999999</v>
      </c>
      <c r="D17" s="1">
        <v>113.573975</v>
      </c>
      <c r="E17" s="1">
        <v>-33.489534999999997</v>
      </c>
      <c r="F17" s="1">
        <v>-0.30190699999999998</v>
      </c>
      <c r="G17" s="1">
        <v>3.3709220000000002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</row>
    <row r="18" spans="1:30" x14ac:dyDescent="0.35">
      <c r="A18" s="1">
        <v>200</v>
      </c>
      <c r="B18" s="1">
        <v>1.7460519999999999</v>
      </c>
      <c r="C18" s="1">
        <v>140.969469</v>
      </c>
      <c r="D18" s="1">
        <v>113.573975</v>
      </c>
      <c r="E18" s="1">
        <v>-31.595625999999999</v>
      </c>
      <c r="F18" s="1">
        <v>0.61225600000000002</v>
      </c>
      <c r="G18" s="1">
        <v>1.9151990000000001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</row>
    <row r="19" spans="1:30" x14ac:dyDescent="0.35">
      <c r="A19" s="1">
        <v>220</v>
      </c>
      <c r="B19" s="1">
        <v>1.8843529999999999</v>
      </c>
      <c r="C19" s="1">
        <v>132.496984</v>
      </c>
      <c r="D19" s="1">
        <v>113.573975</v>
      </c>
      <c r="E19" s="1">
        <v>-27.072372999999999</v>
      </c>
      <c r="F19" s="1">
        <v>0.21016299999999999</v>
      </c>
      <c r="G19" s="1">
        <v>3.1405129999999999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</row>
    <row r="20" spans="1:30" x14ac:dyDescent="0.35">
      <c r="A20" s="1">
        <v>240</v>
      </c>
      <c r="B20" s="1">
        <v>2.0246369999999998</v>
      </c>
      <c r="C20" s="1">
        <v>167.73978299999999</v>
      </c>
      <c r="D20" s="1">
        <v>113.573975</v>
      </c>
      <c r="E20" s="1">
        <v>-20.385926000000001</v>
      </c>
      <c r="F20" s="1">
        <v>0.32111600000000001</v>
      </c>
      <c r="G20" s="1">
        <v>5.4101660000000003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</row>
    <row r="21" spans="1:30" x14ac:dyDescent="0.35">
      <c r="A21" s="1">
        <v>260</v>
      </c>
      <c r="B21" s="1">
        <v>2.16533</v>
      </c>
      <c r="C21" s="1">
        <v>165.19956400000001</v>
      </c>
      <c r="D21" s="1">
        <v>113.573975</v>
      </c>
      <c r="E21" s="1">
        <v>-15.435299000000001</v>
      </c>
      <c r="F21" s="1">
        <v>0.53556199999999998</v>
      </c>
      <c r="G21" s="1">
        <v>1.626495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</row>
    <row r="22" spans="1:30" x14ac:dyDescent="0.35">
      <c r="A22" s="1">
        <v>280</v>
      </c>
      <c r="B22" s="1">
        <v>2.3068230000000001</v>
      </c>
      <c r="C22" s="1">
        <v>162.06611699999999</v>
      </c>
      <c r="D22" s="1">
        <v>113.573975</v>
      </c>
      <c r="E22" s="1">
        <v>-10.642828</v>
      </c>
      <c r="F22" s="1">
        <v>1.207093</v>
      </c>
      <c r="G22" s="1">
        <v>-0.976962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</row>
    <row r="23" spans="1:30" x14ac:dyDescent="0.35">
      <c r="A23" s="1">
        <v>300</v>
      </c>
      <c r="B23" s="1">
        <v>2.4530159999999999</v>
      </c>
      <c r="C23" s="1">
        <v>156.19272100000001</v>
      </c>
      <c r="D23" s="1">
        <v>113.573975</v>
      </c>
      <c r="E23" s="1">
        <v>-6.6839060000000003</v>
      </c>
      <c r="F23" s="1">
        <v>1.3129059999999999</v>
      </c>
      <c r="G23" s="1">
        <v>-1.059026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</row>
    <row r="24" spans="1:30" x14ac:dyDescent="0.35">
      <c r="A24" s="1">
        <v>320</v>
      </c>
      <c r="B24" s="1">
        <v>2.591879</v>
      </c>
      <c r="C24" s="1">
        <v>119.581399</v>
      </c>
      <c r="D24" s="1">
        <v>113.573975</v>
      </c>
      <c r="E24" s="1">
        <v>-4.6637360000000001</v>
      </c>
      <c r="F24" s="1">
        <v>0.49267300000000003</v>
      </c>
      <c r="G24" s="1">
        <v>-0.93860600000000005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</row>
    <row r="25" spans="1:30" x14ac:dyDescent="0.35">
      <c r="A25" s="1">
        <v>340</v>
      </c>
      <c r="B25" s="1">
        <v>2.7310620000000001</v>
      </c>
      <c r="C25" s="1">
        <v>152.63602</v>
      </c>
      <c r="D25" s="1">
        <v>113.573975</v>
      </c>
      <c r="E25" s="1">
        <v>-4.0444849999999999</v>
      </c>
      <c r="F25" s="1">
        <v>-0.53784699999999996</v>
      </c>
      <c r="G25" s="1">
        <v>0.48043000000000002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</row>
    <row r="26" spans="1:30" x14ac:dyDescent="0.35">
      <c r="A26" s="1">
        <v>360</v>
      </c>
      <c r="B26" s="1">
        <v>2.867578</v>
      </c>
      <c r="C26" s="1">
        <v>149.086375</v>
      </c>
      <c r="D26" s="1">
        <v>113.573975</v>
      </c>
      <c r="E26" s="1">
        <v>-3.664479</v>
      </c>
      <c r="F26" s="1">
        <v>0.93225800000000003</v>
      </c>
      <c r="G26" s="1">
        <v>0.45113900000000001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</row>
    <row r="27" spans="1:30" x14ac:dyDescent="0.35">
      <c r="A27" s="1">
        <v>380</v>
      </c>
      <c r="B27" s="1">
        <v>3.0061610000000001</v>
      </c>
      <c r="C27" s="1">
        <v>135.026634</v>
      </c>
      <c r="D27" s="1">
        <v>113.573975</v>
      </c>
      <c r="E27" s="1">
        <v>-0.68241799999999997</v>
      </c>
      <c r="F27" s="1">
        <v>2.5747969999999998</v>
      </c>
      <c r="G27" s="1">
        <v>-0.36278199999999999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</row>
    <row r="28" spans="1:30" x14ac:dyDescent="0.35">
      <c r="A28" s="1">
        <v>400</v>
      </c>
      <c r="B28" s="1">
        <v>3.145213</v>
      </c>
      <c r="C28" s="1">
        <v>91.987971000000002</v>
      </c>
      <c r="D28" s="1">
        <v>113.573975</v>
      </c>
      <c r="E28" s="1">
        <v>-2.9450590000000001</v>
      </c>
      <c r="F28" s="1">
        <v>2.340246</v>
      </c>
      <c r="G28" s="1">
        <v>-0.40770400000000001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</row>
    <row r="29" spans="1:30" x14ac:dyDescent="0.35">
      <c r="A29" s="1">
        <v>420</v>
      </c>
      <c r="B29" s="1">
        <v>3.319134</v>
      </c>
      <c r="C29" s="1">
        <v>146.414973</v>
      </c>
      <c r="D29" s="1">
        <v>113.573975</v>
      </c>
      <c r="E29" s="1">
        <v>-4.3876030000000004</v>
      </c>
      <c r="F29" s="1">
        <v>3.3902450000000002</v>
      </c>
      <c r="G29" s="1">
        <v>-1.401937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</row>
    <row r="30" spans="1:30" x14ac:dyDescent="0.35">
      <c r="A30" s="1">
        <v>440</v>
      </c>
      <c r="B30" s="1">
        <v>3.460216</v>
      </c>
      <c r="C30" s="1">
        <v>144.776343</v>
      </c>
      <c r="D30" s="1">
        <v>113.573975</v>
      </c>
      <c r="E30" s="1">
        <v>-4.0841649999999996</v>
      </c>
      <c r="F30" s="1">
        <v>2.3424330000000002</v>
      </c>
      <c r="G30" s="1">
        <v>-0.73296899999999998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</row>
    <row r="31" spans="1:30" x14ac:dyDescent="0.35">
      <c r="A31" s="1">
        <v>460</v>
      </c>
      <c r="B31" s="1">
        <v>3.5990790000000001</v>
      </c>
      <c r="C31" s="1">
        <v>143.79765699999999</v>
      </c>
      <c r="D31" s="1">
        <v>113.573975</v>
      </c>
      <c r="E31" s="1">
        <v>-3.798495</v>
      </c>
      <c r="F31" s="1">
        <v>2.0932940000000002</v>
      </c>
      <c r="G31" s="1">
        <v>-9.2727000000000004E-2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</row>
    <row r="32" spans="1:30" x14ac:dyDescent="0.35">
      <c r="A32" s="1">
        <v>480</v>
      </c>
      <c r="B32" s="1">
        <v>3.7407810000000001</v>
      </c>
      <c r="C32" s="1">
        <v>149.09945200000001</v>
      </c>
      <c r="D32" s="1">
        <v>113.573975</v>
      </c>
      <c r="E32" s="1">
        <v>-3.0609250000000001</v>
      </c>
      <c r="F32" s="1">
        <v>-0.84895500000000002</v>
      </c>
      <c r="G32" s="1">
        <v>0.13045599999999999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</row>
    <row r="33" spans="1:30" x14ac:dyDescent="0.35">
      <c r="A33" s="1">
        <v>500</v>
      </c>
      <c r="B33" s="1">
        <v>3.878536</v>
      </c>
      <c r="C33" s="1">
        <v>152.25280100000001</v>
      </c>
      <c r="D33" s="1">
        <v>113.573975</v>
      </c>
      <c r="E33" s="1">
        <v>-1.7866439999999999</v>
      </c>
      <c r="F33" s="1">
        <v>-1.8325979999999999</v>
      </c>
      <c r="G33" s="1">
        <v>-0.75949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</row>
    <row r="34" spans="1:30" x14ac:dyDescent="0.35">
      <c r="A34" s="1">
        <v>520</v>
      </c>
      <c r="B34" s="1">
        <v>4.0164669999999996</v>
      </c>
      <c r="C34" s="1">
        <v>148.292025</v>
      </c>
      <c r="D34" s="1">
        <v>113.573975</v>
      </c>
      <c r="E34" s="1">
        <v>-0.741174</v>
      </c>
      <c r="F34" s="1">
        <v>-3.242111</v>
      </c>
      <c r="G34" s="1">
        <v>0.97271399999999997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</row>
    <row r="35" spans="1:30" x14ac:dyDescent="0.35">
      <c r="A35" s="1">
        <v>540</v>
      </c>
      <c r="B35" s="1">
        <v>4.1587880000000004</v>
      </c>
      <c r="C35" s="1">
        <v>143.318106</v>
      </c>
      <c r="D35" s="1">
        <v>113.573975</v>
      </c>
      <c r="E35" s="1">
        <v>-7.3670000000000003E-3</v>
      </c>
      <c r="F35" s="1">
        <v>-4.5137809999999998</v>
      </c>
      <c r="G35" s="1">
        <v>1.644557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</row>
    <row r="36" spans="1:30" x14ac:dyDescent="0.35">
      <c r="A36" s="1">
        <v>560</v>
      </c>
      <c r="B36" s="1">
        <v>4.299696</v>
      </c>
      <c r="C36" s="1">
        <v>150.08541299999999</v>
      </c>
      <c r="D36" s="1">
        <v>113.573975</v>
      </c>
      <c r="E36" s="1">
        <v>7.6583999999999999E-2</v>
      </c>
      <c r="F36" s="1">
        <v>-3.5822090000000002</v>
      </c>
      <c r="G36" s="1">
        <v>0.63030900000000001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</row>
    <row r="37" spans="1:30" x14ac:dyDescent="0.35">
      <c r="A37" s="1">
        <v>580</v>
      </c>
      <c r="B37" s="1">
        <v>4.4454310000000001</v>
      </c>
      <c r="C37" s="1">
        <v>144.57427200000001</v>
      </c>
      <c r="D37" s="1">
        <v>113.573975</v>
      </c>
      <c r="E37" s="1">
        <v>-0.24655099999999999</v>
      </c>
      <c r="F37" s="1">
        <v>-0.104793</v>
      </c>
      <c r="G37" s="1">
        <v>1.0333829999999999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</row>
    <row r="38" spans="1:30" x14ac:dyDescent="0.35">
      <c r="A38" s="1">
        <v>600</v>
      </c>
      <c r="B38" s="1">
        <v>4.5868700000000002</v>
      </c>
      <c r="C38" s="1">
        <v>128.377872</v>
      </c>
      <c r="D38" s="1">
        <v>113.573975</v>
      </c>
      <c r="E38" s="1">
        <v>0.14762700000000001</v>
      </c>
      <c r="F38" s="1">
        <v>2.922409</v>
      </c>
      <c r="G38" s="1">
        <v>1.558638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</row>
    <row r="39" spans="1:30" x14ac:dyDescent="0.35">
      <c r="A39" s="1">
        <v>620</v>
      </c>
      <c r="B39" s="1">
        <v>4.726216</v>
      </c>
      <c r="C39" s="1">
        <v>141.49271200000001</v>
      </c>
      <c r="D39" s="1">
        <v>113.573975</v>
      </c>
      <c r="E39" s="1">
        <v>-0.84744600000000003</v>
      </c>
      <c r="F39" s="1">
        <v>2.8258580000000002</v>
      </c>
      <c r="G39" s="1">
        <v>0.93837800000000005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</row>
    <row r="40" spans="1:30" x14ac:dyDescent="0.35">
      <c r="A40" s="1">
        <v>640</v>
      </c>
      <c r="B40" s="1">
        <v>4.8878890000000004</v>
      </c>
      <c r="C40" s="1">
        <v>122.53313199999999</v>
      </c>
      <c r="D40" s="1">
        <v>113.573975</v>
      </c>
      <c r="E40" s="1">
        <v>6.5820000000000002E-3</v>
      </c>
      <c r="F40" s="1">
        <v>1.8058209999999999</v>
      </c>
      <c r="G40" s="1">
        <v>1.0989500000000001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</row>
    <row r="41" spans="1:30" x14ac:dyDescent="0.35">
      <c r="A41" s="1">
        <v>660</v>
      </c>
      <c r="B41" s="1">
        <v>5.0322630000000004</v>
      </c>
      <c r="C41" s="1">
        <v>142.656947</v>
      </c>
      <c r="D41" s="1">
        <v>113.573975</v>
      </c>
      <c r="E41" s="1">
        <v>-0.52646800000000005</v>
      </c>
      <c r="F41" s="1">
        <v>1.3010999999999999</v>
      </c>
      <c r="G41" s="1">
        <v>-0.47168399999999999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</row>
    <row r="42" spans="1:30" x14ac:dyDescent="0.35">
      <c r="A42" s="1">
        <v>680</v>
      </c>
      <c r="B42" s="1">
        <v>5.1707380000000001</v>
      </c>
      <c r="C42" s="1">
        <v>143.040919</v>
      </c>
      <c r="D42" s="1">
        <v>113.573975</v>
      </c>
      <c r="E42" s="1">
        <v>-0.121561</v>
      </c>
      <c r="F42" s="1">
        <v>0.447687</v>
      </c>
      <c r="G42" s="1">
        <v>-2.886511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</row>
    <row r="43" spans="1:30" x14ac:dyDescent="0.35">
      <c r="A43" s="1">
        <v>700</v>
      </c>
      <c r="B43" s="1">
        <v>5.3107430000000004</v>
      </c>
      <c r="C43" s="1">
        <v>149.31052399999999</v>
      </c>
      <c r="D43" s="1">
        <v>113.573975</v>
      </c>
      <c r="E43" s="1">
        <v>-0.142039</v>
      </c>
      <c r="F43" s="1">
        <v>-2.479641</v>
      </c>
      <c r="G43" s="1">
        <v>-1.79674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</row>
    <row r="44" spans="1:30" x14ac:dyDescent="0.35">
      <c r="A44" s="1">
        <v>720</v>
      </c>
      <c r="B44" s="1">
        <v>5.4769500000000004</v>
      </c>
      <c r="C44" s="1">
        <v>143.75946400000001</v>
      </c>
      <c r="D44" s="1">
        <v>113.573975</v>
      </c>
      <c r="E44" s="1">
        <v>0.648366</v>
      </c>
      <c r="F44" s="1">
        <v>-2.647786</v>
      </c>
      <c r="G44" s="1">
        <v>-1.885135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</row>
    <row r="45" spans="1:30" x14ac:dyDescent="0.35">
      <c r="A45" s="1">
        <v>740</v>
      </c>
      <c r="B45" s="1">
        <v>5.6372239999999998</v>
      </c>
      <c r="C45" s="1">
        <v>145.06600499999999</v>
      </c>
      <c r="D45" s="1">
        <v>113.573975</v>
      </c>
      <c r="E45" s="1">
        <v>6.6899E-2</v>
      </c>
      <c r="F45" s="1">
        <v>-2.292246</v>
      </c>
      <c r="G45" s="1">
        <v>-2.8376980000000001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</row>
    <row r="46" spans="1:30" x14ac:dyDescent="0.35">
      <c r="A46" s="1">
        <v>760</v>
      </c>
      <c r="B46" s="1">
        <v>5.7913810000000003</v>
      </c>
      <c r="C46" s="1">
        <v>138.455276</v>
      </c>
      <c r="D46" s="1">
        <v>113.573975</v>
      </c>
      <c r="E46" s="1">
        <v>0.66150500000000001</v>
      </c>
      <c r="F46" s="1">
        <v>-1.4008560000000001</v>
      </c>
      <c r="G46" s="1">
        <v>-0.25681599999999999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</row>
    <row r="47" spans="1:30" x14ac:dyDescent="0.35">
      <c r="A47" s="1">
        <v>780</v>
      </c>
      <c r="B47" s="1">
        <v>5.9510759999999996</v>
      </c>
      <c r="C47" s="1">
        <v>137.806341</v>
      </c>
      <c r="D47" s="1">
        <v>113.573975</v>
      </c>
      <c r="E47" s="1">
        <v>6.7265000000000005E-2</v>
      </c>
      <c r="F47" s="1">
        <v>0.94975299999999996</v>
      </c>
      <c r="G47" s="1">
        <v>-0.85785999999999996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</row>
    <row r="48" spans="1:30" x14ac:dyDescent="0.35">
      <c r="A48" s="1">
        <v>800</v>
      </c>
      <c r="B48" s="1">
        <v>6.0903900000000002</v>
      </c>
      <c r="C48" s="1">
        <v>140.47712300000001</v>
      </c>
      <c r="D48" s="1">
        <v>113.573975</v>
      </c>
      <c r="E48" s="1">
        <v>0.44511400000000001</v>
      </c>
      <c r="F48" s="1">
        <v>1.8196909999999999</v>
      </c>
      <c r="G48" s="1">
        <v>1.190483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</row>
    <row r="49" spans="1:30" x14ac:dyDescent="0.35">
      <c r="A49" s="1">
        <v>820</v>
      </c>
      <c r="B49" s="1">
        <v>6.2505889999999997</v>
      </c>
      <c r="C49" s="1">
        <v>133.19294500000001</v>
      </c>
      <c r="D49" s="1">
        <v>113.573975</v>
      </c>
      <c r="E49" s="1">
        <v>1.635065</v>
      </c>
      <c r="F49" s="1">
        <v>1.105923</v>
      </c>
      <c r="G49" s="1">
        <v>2.3629829999999998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</row>
    <row r="50" spans="1:30" x14ac:dyDescent="0.35">
      <c r="A50" s="1">
        <v>840</v>
      </c>
      <c r="B50" s="1">
        <v>6.3990499999999999</v>
      </c>
      <c r="C50" s="1">
        <v>90.389550999999997</v>
      </c>
      <c r="D50" s="1">
        <v>113.573975</v>
      </c>
      <c r="E50" s="1">
        <v>2.1427489999999998</v>
      </c>
      <c r="F50" s="1">
        <v>3.9434369999999999</v>
      </c>
      <c r="G50" s="1">
        <v>1.0796030000000001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</row>
    <row r="51" spans="1:30" x14ac:dyDescent="0.35">
      <c r="A51" s="1">
        <v>860</v>
      </c>
      <c r="B51" s="1">
        <v>6.5430380000000001</v>
      </c>
      <c r="C51" s="1">
        <v>107.27584899999999</v>
      </c>
      <c r="D51" s="1">
        <v>113.573975</v>
      </c>
      <c r="E51" s="1">
        <v>0.87498200000000004</v>
      </c>
      <c r="F51" s="1">
        <v>2.1604079999999999</v>
      </c>
      <c r="G51" s="1">
        <v>-9.5116999999999993E-2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</row>
    <row r="52" spans="1:30" x14ac:dyDescent="0.35">
      <c r="A52" s="1">
        <v>880</v>
      </c>
      <c r="B52" s="1">
        <v>6.6814790000000004</v>
      </c>
      <c r="C52" s="1">
        <v>141.28333000000001</v>
      </c>
      <c r="D52" s="1">
        <v>113.573975</v>
      </c>
      <c r="E52" s="1">
        <v>2.9776050000000001</v>
      </c>
      <c r="F52" s="1">
        <v>1.7291920000000001</v>
      </c>
      <c r="G52" s="1">
        <v>-0.98313099999999998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</row>
    <row r="53" spans="1:30" x14ac:dyDescent="0.35">
      <c r="A53" s="1">
        <v>900</v>
      </c>
      <c r="B53" s="1">
        <v>6.8178229999999997</v>
      </c>
      <c r="C53" s="1">
        <v>147.794105</v>
      </c>
      <c r="D53" s="1">
        <v>113.573975</v>
      </c>
      <c r="E53" s="1">
        <v>2.097988</v>
      </c>
      <c r="F53" s="1">
        <v>-1.6632309999999999</v>
      </c>
      <c r="G53" s="1">
        <v>-0.69399500000000003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</row>
    <row r="54" spans="1:30" x14ac:dyDescent="0.35">
      <c r="A54" s="1">
        <v>920</v>
      </c>
      <c r="B54" s="1">
        <v>6.9543509999999999</v>
      </c>
      <c r="C54" s="1">
        <v>146.26912999999999</v>
      </c>
      <c r="D54" s="1">
        <v>113.573975</v>
      </c>
      <c r="E54" s="1">
        <v>2.5665779999999998</v>
      </c>
      <c r="F54" s="1">
        <v>-2.7290480000000001</v>
      </c>
      <c r="G54" s="1">
        <v>-1.682893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</row>
    <row r="55" spans="1:30" x14ac:dyDescent="0.35">
      <c r="A55" s="1">
        <v>940</v>
      </c>
      <c r="B55" s="1">
        <v>7.0987970000000002</v>
      </c>
      <c r="C55" s="1">
        <v>88.841120000000004</v>
      </c>
      <c r="D55" s="1">
        <v>113.573975</v>
      </c>
      <c r="E55" s="1">
        <v>1.5152460000000001</v>
      </c>
      <c r="F55" s="1">
        <v>-3.3314469999999998</v>
      </c>
      <c r="G55" s="1">
        <v>-1.9881470000000001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</row>
    <row r="56" spans="1:30" x14ac:dyDescent="0.35">
      <c r="A56" s="1">
        <v>960</v>
      </c>
      <c r="B56" s="1">
        <v>7.2524550000000003</v>
      </c>
      <c r="C56" s="1">
        <v>143.779934</v>
      </c>
      <c r="D56" s="1">
        <v>113.573975</v>
      </c>
      <c r="E56" s="1">
        <v>2.1302180000000002</v>
      </c>
      <c r="F56" s="1">
        <v>-3.4027159999999999</v>
      </c>
      <c r="G56" s="1">
        <v>-0.75318200000000002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</row>
    <row r="57" spans="1:30" x14ac:dyDescent="0.35">
      <c r="A57" s="1">
        <v>980</v>
      </c>
      <c r="B57" s="1">
        <v>7.4164570000000003</v>
      </c>
      <c r="C57" s="1">
        <v>128.65446800000001</v>
      </c>
      <c r="D57" s="1">
        <v>113.573975</v>
      </c>
      <c r="E57" s="1">
        <v>1.569124</v>
      </c>
      <c r="F57" s="1">
        <v>1.4294500000000001</v>
      </c>
      <c r="G57" s="1">
        <v>-1.161945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</row>
    <row r="58" spans="1:30" x14ac:dyDescent="0.35">
      <c r="A58" s="1">
        <v>1000</v>
      </c>
      <c r="B58" s="1">
        <v>7.5685599999999997</v>
      </c>
      <c r="C58" s="1">
        <v>130.38967500000001</v>
      </c>
      <c r="D58" s="1">
        <v>113.573975</v>
      </c>
      <c r="E58" s="1">
        <v>1.7137340000000001</v>
      </c>
      <c r="F58" s="1">
        <v>0.37721900000000003</v>
      </c>
      <c r="G58" s="1">
        <v>-2.0429819999999999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</row>
    <row r="59" spans="1:30" x14ac:dyDescent="0.35">
      <c r="A59" s="1">
        <v>1020</v>
      </c>
      <c r="B59" s="1">
        <v>7.7105379999999997</v>
      </c>
      <c r="C59" s="1">
        <v>135.29941299999999</v>
      </c>
      <c r="D59" s="1">
        <v>113.573975</v>
      </c>
      <c r="E59" s="1">
        <v>0.81196800000000002</v>
      </c>
      <c r="F59" s="1">
        <v>2.722162</v>
      </c>
      <c r="G59" s="1">
        <v>-0.37116500000000002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</row>
    <row r="60" spans="1:30" x14ac:dyDescent="0.35">
      <c r="A60" s="1">
        <v>1040</v>
      </c>
      <c r="B60" s="1">
        <v>7.8499169999999996</v>
      </c>
      <c r="C60" s="1">
        <v>142.213821</v>
      </c>
      <c r="D60" s="1">
        <v>113.573975</v>
      </c>
      <c r="E60" s="1">
        <v>-0.63719599999999998</v>
      </c>
      <c r="F60" s="1">
        <v>3.1555789999999999</v>
      </c>
      <c r="G60" s="1">
        <v>0.25547599999999998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</row>
    <row r="61" spans="1:30" x14ac:dyDescent="0.35">
      <c r="A61" s="1">
        <v>1060</v>
      </c>
      <c r="B61" s="1">
        <v>7.9887220000000001</v>
      </c>
      <c r="C61" s="1">
        <v>141.67869400000001</v>
      </c>
      <c r="D61" s="1">
        <v>113.573975</v>
      </c>
      <c r="E61" s="1">
        <v>-0.82889699999999999</v>
      </c>
      <c r="F61" s="1">
        <v>1.4344570000000001</v>
      </c>
      <c r="G61" s="1">
        <v>3.2411110000000001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</row>
    <row r="62" spans="1:30" x14ac:dyDescent="0.35">
      <c r="A62" s="1">
        <v>1080</v>
      </c>
      <c r="B62" s="1">
        <v>8.1292849999999994</v>
      </c>
      <c r="C62" s="1">
        <v>142.556071</v>
      </c>
      <c r="D62" s="1">
        <v>113.573975</v>
      </c>
      <c r="E62" s="1">
        <v>-1.152379</v>
      </c>
      <c r="F62" s="1">
        <v>-0.64356899999999995</v>
      </c>
      <c r="G62" s="1">
        <v>1.9445140000000001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</row>
    <row r="63" spans="1:30" x14ac:dyDescent="0.35">
      <c r="A63" s="1">
        <v>1100</v>
      </c>
      <c r="B63" s="1">
        <v>8.269577</v>
      </c>
      <c r="C63" s="1">
        <v>148.816858</v>
      </c>
      <c r="D63" s="1">
        <v>113.573975</v>
      </c>
      <c r="E63" s="1">
        <v>-0.67780399999999996</v>
      </c>
      <c r="F63" s="1">
        <v>-2.1259839999999999</v>
      </c>
      <c r="G63" s="1">
        <v>1.4385479999999999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</row>
    <row r="64" spans="1:30" x14ac:dyDescent="0.35">
      <c r="A64" s="1">
        <v>1120</v>
      </c>
      <c r="B64" s="1">
        <v>8.4212889999999998</v>
      </c>
      <c r="C64" s="1">
        <v>64.941315000000003</v>
      </c>
      <c r="D64" s="1">
        <v>113.573975</v>
      </c>
      <c r="E64" s="1">
        <v>0.85323300000000002</v>
      </c>
      <c r="F64" s="1">
        <v>-1.9277660000000001</v>
      </c>
      <c r="G64" s="1">
        <v>2.1164149999999999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</row>
    <row r="65" spans="1:30" x14ac:dyDescent="0.35">
      <c r="A65" s="1">
        <v>1140</v>
      </c>
      <c r="B65" s="1">
        <v>8.5993870000000001</v>
      </c>
      <c r="C65" s="1">
        <v>137.524766</v>
      </c>
      <c r="D65" s="1">
        <v>113.573975</v>
      </c>
      <c r="E65" s="1">
        <v>0.917099</v>
      </c>
      <c r="F65" s="1">
        <v>-0.54589900000000002</v>
      </c>
      <c r="G65" s="1">
        <v>-1.8154509999999999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</row>
    <row r="66" spans="1:30" x14ac:dyDescent="0.35">
      <c r="A66" s="1">
        <v>1160</v>
      </c>
      <c r="B66" s="1">
        <v>8.7568219999999997</v>
      </c>
      <c r="C66" s="1">
        <v>137.89574099999999</v>
      </c>
      <c r="D66" s="1">
        <v>113.573975</v>
      </c>
      <c r="E66" s="1">
        <v>0.76729099999999995</v>
      </c>
      <c r="F66" s="1">
        <v>-0.56490300000000004</v>
      </c>
      <c r="G66" s="1">
        <v>-2.4285000000000001E-2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</row>
    <row r="67" spans="1:30" x14ac:dyDescent="0.35">
      <c r="A67" s="1">
        <v>1180</v>
      </c>
      <c r="B67" s="1">
        <v>8.9194580000000006</v>
      </c>
      <c r="C67" s="1">
        <v>138.908142</v>
      </c>
      <c r="D67" s="1">
        <v>113.573975</v>
      </c>
      <c r="E67" s="1">
        <v>2.2363789999999999</v>
      </c>
      <c r="F67" s="1">
        <v>2.3922189999999999</v>
      </c>
      <c r="G67" s="1">
        <v>-0.51747500000000002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</row>
    <row r="68" spans="1:30" x14ac:dyDescent="0.35">
      <c r="A68" s="1">
        <v>1200</v>
      </c>
      <c r="B68" s="1">
        <v>9.0811829999999993</v>
      </c>
      <c r="C68" s="1">
        <v>145.761292</v>
      </c>
      <c r="D68" s="1">
        <v>113.573975</v>
      </c>
      <c r="E68" s="1">
        <v>-0.43318099999999998</v>
      </c>
      <c r="F68" s="1">
        <v>0.72816700000000001</v>
      </c>
      <c r="G68" s="1">
        <v>0.489176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</row>
    <row r="69" spans="1:30" x14ac:dyDescent="0.35">
      <c r="A69" s="1">
        <v>1220</v>
      </c>
      <c r="B69" s="1">
        <v>9.2178749999999994</v>
      </c>
      <c r="C69" s="1">
        <v>145.47703799999999</v>
      </c>
      <c r="D69" s="1">
        <v>113.573975</v>
      </c>
      <c r="E69" s="1">
        <v>-1.4373499999999999</v>
      </c>
      <c r="F69" s="1">
        <v>-0.15590899999999999</v>
      </c>
      <c r="G69" s="1">
        <v>1.196115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</row>
    <row r="70" spans="1:30" x14ac:dyDescent="0.35">
      <c r="A70" s="1">
        <v>1240</v>
      </c>
      <c r="B70" s="1">
        <v>9.354196</v>
      </c>
      <c r="C70" s="1">
        <v>137.24041299999999</v>
      </c>
      <c r="D70" s="1">
        <v>113.573975</v>
      </c>
      <c r="E70" s="1">
        <v>-0.257469</v>
      </c>
      <c r="F70" s="1">
        <v>-0.380048</v>
      </c>
      <c r="G70" s="1">
        <v>0.74622699999999997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</row>
    <row r="71" spans="1:30" x14ac:dyDescent="0.35">
      <c r="A71" s="1">
        <v>1260</v>
      </c>
      <c r="B71" s="1">
        <v>9.4979239999999994</v>
      </c>
      <c r="C71" s="1">
        <v>141.44840600000001</v>
      </c>
      <c r="D71" s="1">
        <v>113.573975</v>
      </c>
      <c r="E71" s="1">
        <v>2.1792319999999998</v>
      </c>
      <c r="F71" s="1">
        <v>-2.117823</v>
      </c>
      <c r="G71" s="1">
        <v>1.022432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</row>
    <row r="72" spans="1:30" x14ac:dyDescent="0.35">
      <c r="A72" s="1">
        <v>1280</v>
      </c>
      <c r="B72" s="1">
        <v>9.6558109999999999</v>
      </c>
      <c r="C72" s="1">
        <v>106.223777</v>
      </c>
      <c r="D72" s="1">
        <v>113.573975</v>
      </c>
      <c r="E72" s="1">
        <v>3.4735520000000002</v>
      </c>
      <c r="F72" s="1">
        <v>1.988283</v>
      </c>
      <c r="G72" s="1">
        <v>-0.226942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</row>
    <row r="73" spans="1:30" x14ac:dyDescent="0.35">
      <c r="A73" s="1">
        <v>1300</v>
      </c>
      <c r="B73" s="1">
        <v>9.8311890000000002</v>
      </c>
      <c r="C73" s="1">
        <v>102.71694100000001</v>
      </c>
      <c r="D73" s="1">
        <v>113.573975</v>
      </c>
      <c r="E73" s="1">
        <v>2.1898550000000001</v>
      </c>
      <c r="F73" s="1">
        <v>4.475778</v>
      </c>
      <c r="G73" s="1">
        <v>-0.71553500000000003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</row>
    <row r="74" spans="1:30" x14ac:dyDescent="0.35">
      <c r="A74" s="1">
        <v>1320</v>
      </c>
      <c r="B74" s="1">
        <v>10.006836</v>
      </c>
      <c r="C74" s="1">
        <v>127.72847400000001</v>
      </c>
      <c r="D74" s="1">
        <v>113.573975</v>
      </c>
      <c r="E74" s="1">
        <v>3.2034850000000001</v>
      </c>
      <c r="F74" s="1">
        <v>2.92137</v>
      </c>
      <c r="G74" s="1">
        <v>-2.6958989999999998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</row>
    <row r="75" spans="1:30" x14ac:dyDescent="0.35">
      <c r="A75" s="1">
        <v>1340</v>
      </c>
      <c r="B75" s="1">
        <v>10.179297</v>
      </c>
      <c r="C75" s="1">
        <v>133.68369300000001</v>
      </c>
      <c r="D75" s="1">
        <v>113.573975</v>
      </c>
      <c r="E75" s="1">
        <v>-5.7050999999999998E-2</v>
      </c>
      <c r="F75" s="1">
        <v>1.369286</v>
      </c>
      <c r="G75" s="1">
        <v>-2.5400399999999999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</row>
    <row r="76" spans="1:30" x14ac:dyDescent="0.35">
      <c r="A76" s="1">
        <v>1360</v>
      </c>
      <c r="B76" s="1">
        <v>10.357528</v>
      </c>
      <c r="C76" s="1">
        <v>135.09518199999999</v>
      </c>
      <c r="D76" s="1">
        <v>113.573975</v>
      </c>
      <c r="E76" s="1">
        <v>0.21301100000000001</v>
      </c>
      <c r="F76" s="1">
        <v>-0.42050199999999999</v>
      </c>
      <c r="G76" s="1">
        <v>-1.5125409999999999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</row>
    <row r="77" spans="1:30" x14ac:dyDescent="0.35">
      <c r="A77" s="1">
        <v>1380</v>
      </c>
      <c r="B77" s="1">
        <v>10.527125</v>
      </c>
      <c r="C77" s="1">
        <v>70.425216000000006</v>
      </c>
      <c r="D77" s="1">
        <v>113.573975</v>
      </c>
      <c r="E77" s="1">
        <v>-0.12718699999999999</v>
      </c>
      <c r="F77" s="1">
        <v>-1.262308</v>
      </c>
      <c r="G77" s="1">
        <v>0.31249199999999999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</row>
    <row r="78" spans="1:30" x14ac:dyDescent="0.35">
      <c r="A78" s="1">
        <v>1400</v>
      </c>
      <c r="B78" s="1">
        <v>10.708339</v>
      </c>
      <c r="C78" s="1">
        <v>134.43634</v>
      </c>
      <c r="D78" s="1">
        <v>113.573975</v>
      </c>
      <c r="E78" s="1">
        <v>-1.6315980000000001</v>
      </c>
      <c r="F78" s="1">
        <v>-1.5009239999999999</v>
      </c>
      <c r="G78" s="1">
        <v>1.0085489999999999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</row>
    <row r="79" spans="1:30" x14ac:dyDescent="0.35">
      <c r="A79" s="1">
        <v>1420</v>
      </c>
      <c r="B79" s="1">
        <v>10.864984</v>
      </c>
      <c r="C79" s="1">
        <v>149.72471999999999</v>
      </c>
      <c r="D79" s="1">
        <v>113.573975</v>
      </c>
      <c r="E79" s="1">
        <v>-3.1922350000000002</v>
      </c>
      <c r="F79" s="1">
        <v>-0.50662200000000002</v>
      </c>
      <c r="G79" s="1">
        <v>4.0038999999999998E-2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</row>
    <row r="80" spans="1:30" x14ac:dyDescent="0.35">
      <c r="A80" s="1">
        <v>1440</v>
      </c>
      <c r="B80" s="1">
        <v>11.032655999999999</v>
      </c>
      <c r="C80" s="1">
        <v>109.73347</v>
      </c>
      <c r="D80" s="1">
        <v>113.573975</v>
      </c>
      <c r="E80" s="1">
        <v>-1.8287199999999999</v>
      </c>
      <c r="F80" s="1">
        <v>0.45228800000000002</v>
      </c>
      <c r="G80" s="1">
        <v>1.355178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</row>
    <row r="81" spans="1:30" x14ac:dyDescent="0.35">
      <c r="A81" s="1">
        <v>1460</v>
      </c>
      <c r="B81" s="1">
        <v>11.174531</v>
      </c>
      <c r="C81" s="1">
        <v>129.41176100000001</v>
      </c>
      <c r="D81" s="1">
        <v>113.573975</v>
      </c>
      <c r="E81" s="1">
        <v>-2.3661810000000001</v>
      </c>
      <c r="F81" s="1">
        <v>-1.6378379999999999</v>
      </c>
      <c r="G81" s="1">
        <v>-0.75239999999999996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</row>
    <row r="82" spans="1:30" x14ac:dyDescent="0.35">
      <c r="A82" s="1">
        <v>1480</v>
      </c>
      <c r="B82" s="1">
        <v>11.314833</v>
      </c>
      <c r="C82" s="1">
        <v>142.73554799999999</v>
      </c>
      <c r="D82" s="1">
        <v>113.573975</v>
      </c>
      <c r="E82" s="1">
        <v>-3.4382069999999998</v>
      </c>
      <c r="F82" s="1">
        <v>-1.087067</v>
      </c>
      <c r="G82" s="1">
        <v>-2.4554320000000001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</row>
    <row r="83" spans="1:30" x14ac:dyDescent="0.35">
      <c r="A83" s="1">
        <v>1500</v>
      </c>
      <c r="B83" s="1">
        <v>11.459688999999999</v>
      </c>
      <c r="C83" s="1">
        <v>150.858328</v>
      </c>
      <c r="D83" s="1">
        <v>113.573975</v>
      </c>
      <c r="E83" s="1">
        <v>-3.3755099999999998</v>
      </c>
      <c r="F83" s="1">
        <v>-1.1438520000000001</v>
      </c>
      <c r="G83" s="1">
        <v>-0.875336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</row>
    <row r="84" spans="1:30" x14ac:dyDescent="0.35">
      <c r="A84" s="1">
        <v>1520</v>
      </c>
      <c r="B84" s="1">
        <v>11.595269</v>
      </c>
      <c r="C84" s="1">
        <v>156.12134800000001</v>
      </c>
      <c r="D84" s="1">
        <v>113.573975</v>
      </c>
      <c r="E84" s="1">
        <v>-2.954898</v>
      </c>
      <c r="F84" s="1">
        <v>-1.5995090000000001</v>
      </c>
      <c r="G84" s="1">
        <v>-2.1446010000000002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</row>
    <row r="85" spans="1:30" x14ac:dyDescent="0.35">
      <c r="A85" s="1">
        <v>1540</v>
      </c>
      <c r="B85" s="1">
        <v>11.734285</v>
      </c>
      <c r="C85" s="1">
        <v>156.34875700000001</v>
      </c>
      <c r="D85" s="1">
        <v>113.573975</v>
      </c>
      <c r="E85" s="1">
        <v>-2.7882199999999999</v>
      </c>
      <c r="F85" s="1">
        <v>-2.514802</v>
      </c>
      <c r="G85" s="1">
        <v>-1.042638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</row>
    <row r="86" spans="1:30" x14ac:dyDescent="0.35">
      <c r="A86" s="1">
        <v>1560</v>
      </c>
      <c r="B86" s="1">
        <v>11.872748</v>
      </c>
      <c r="C86" s="1">
        <v>153.79853700000001</v>
      </c>
      <c r="D86" s="1">
        <v>113.573975</v>
      </c>
      <c r="E86" s="1">
        <v>-3.8005840000000002</v>
      </c>
      <c r="F86" s="1">
        <v>-1.369855</v>
      </c>
      <c r="G86" s="1">
        <v>-0.76943399999999995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</row>
    <row r="87" spans="1:30" x14ac:dyDescent="0.35">
      <c r="A87" s="1">
        <v>1580</v>
      </c>
      <c r="B87" s="1">
        <v>12.010016</v>
      </c>
      <c r="C87" s="1">
        <v>151.56789599999999</v>
      </c>
      <c r="D87" s="1">
        <v>113.573975</v>
      </c>
      <c r="E87" s="1">
        <v>-3.7134260000000001</v>
      </c>
      <c r="F87" s="1">
        <v>0.26628600000000002</v>
      </c>
      <c r="G87" s="1">
        <v>0.164717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</row>
    <row r="88" spans="1:30" x14ac:dyDescent="0.35">
      <c r="A88" s="1">
        <v>1600</v>
      </c>
      <c r="B88" s="1">
        <v>12.146698000000001</v>
      </c>
      <c r="C88" s="1">
        <v>135.64031499999999</v>
      </c>
      <c r="D88" s="1">
        <v>113.573975</v>
      </c>
      <c r="E88" s="1">
        <v>-2.6037180000000002</v>
      </c>
      <c r="F88" s="1">
        <v>2.7959610000000001</v>
      </c>
      <c r="G88" s="1">
        <v>0.74204499999999995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</row>
    <row r="89" spans="1:30" x14ac:dyDescent="0.35">
      <c r="A89" s="1">
        <v>1620</v>
      </c>
      <c r="B89" s="1">
        <v>12.284867999999999</v>
      </c>
      <c r="C89" s="1">
        <v>139.20346900000001</v>
      </c>
      <c r="D89" s="1">
        <v>113.573975</v>
      </c>
      <c r="E89" s="1">
        <v>0.14577799999999999</v>
      </c>
      <c r="F89" s="1">
        <v>3.7542970000000002</v>
      </c>
      <c r="G89" s="1">
        <v>1.150468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</row>
    <row r="90" spans="1:30" x14ac:dyDescent="0.35">
      <c r="A90" s="1">
        <v>1640</v>
      </c>
      <c r="B90" s="1">
        <v>12.421806</v>
      </c>
      <c r="C90" s="1">
        <v>133.230504</v>
      </c>
      <c r="D90" s="1">
        <v>113.573975</v>
      </c>
      <c r="E90" s="1">
        <v>1.3287199999999999</v>
      </c>
      <c r="F90" s="1">
        <v>3.4569049999999999</v>
      </c>
      <c r="G90" s="1">
        <v>2.8020740000000002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</row>
    <row r="91" spans="1:30" x14ac:dyDescent="0.35">
      <c r="A91" s="1">
        <v>1660</v>
      </c>
      <c r="B91" s="1">
        <v>12.560560000000001</v>
      </c>
      <c r="C91" s="1">
        <v>101.04606800000001</v>
      </c>
      <c r="D91" s="1">
        <v>113.573975</v>
      </c>
      <c r="E91" s="1">
        <v>2.132482</v>
      </c>
      <c r="F91" s="1">
        <v>1.135165</v>
      </c>
      <c r="G91" s="1">
        <v>3.0964939999999999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</row>
    <row r="92" spans="1:30" x14ac:dyDescent="0.35">
      <c r="A92" s="1">
        <v>1680</v>
      </c>
      <c r="B92" s="1">
        <v>12.699985</v>
      </c>
      <c r="C92" s="1">
        <v>134.640625</v>
      </c>
      <c r="D92" s="1">
        <v>113.573975</v>
      </c>
      <c r="E92" s="1">
        <v>4.1900009999999996</v>
      </c>
      <c r="F92" s="1">
        <v>-0.18484600000000001</v>
      </c>
      <c r="G92" s="1">
        <v>4.1297389999999998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</row>
    <row r="93" spans="1:30" x14ac:dyDescent="0.35">
      <c r="A93" s="1">
        <v>1700</v>
      </c>
      <c r="B93" s="1">
        <v>12.838144</v>
      </c>
      <c r="C93" s="1">
        <v>132.299037</v>
      </c>
      <c r="D93" s="1">
        <v>113.573975</v>
      </c>
      <c r="E93" s="1">
        <v>4.6402999999999999</v>
      </c>
      <c r="F93" s="1">
        <v>-0.54219899999999999</v>
      </c>
      <c r="G93" s="1">
        <v>3.9306580000000002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</row>
    <row r="94" spans="1:30" x14ac:dyDescent="0.35">
      <c r="A94" s="1">
        <v>1720</v>
      </c>
      <c r="B94" s="1">
        <v>12.980168000000001</v>
      </c>
      <c r="C94" s="1">
        <v>140.27502100000001</v>
      </c>
      <c r="D94" s="1">
        <v>113.573975</v>
      </c>
      <c r="E94" s="1">
        <v>3.5125899999999999</v>
      </c>
      <c r="F94" s="1">
        <v>-2.3153589999999999</v>
      </c>
      <c r="G94" s="1">
        <v>2.3709380000000002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</row>
    <row r="95" spans="1:30" x14ac:dyDescent="0.35">
      <c r="A95" s="1">
        <v>1740</v>
      </c>
      <c r="B95" s="1">
        <v>13.117037</v>
      </c>
      <c r="C95" s="1">
        <v>132.66473099999999</v>
      </c>
      <c r="D95" s="1">
        <v>113.573975</v>
      </c>
      <c r="E95" s="1">
        <v>4.8133359999999996</v>
      </c>
      <c r="F95" s="1">
        <v>-2.9158499999999998</v>
      </c>
      <c r="G95" s="1">
        <v>1.72749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</row>
    <row r="96" spans="1:30" x14ac:dyDescent="0.35">
      <c r="A96" s="1">
        <v>1760</v>
      </c>
      <c r="B96" s="1">
        <v>13.259171</v>
      </c>
      <c r="C96" s="1">
        <v>114.484407</v>
      </c>
      <c r="D96" s="1">
        <v>113.573975</v>
      </c>
      <c r="E96" s="1">
        <v>3.8428749999999998</v>
      </c>
      <c r="F96" s="1">
        <v>-2.7366299999999999</v>
      </c>
      <c r="G96" s="1">
        <v>-1.1566829999999999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</row>
    <row r="97" spans="1:30" x14ac:dyDescent="0.35">
      <c r="A97" s="1">
        <v>1780</v>
      </c>
      <c r="B97" s="1">
        <v>13.401633</v>
      </c>
      <c r="C97" s="1">
        <v>146.57191800000001</v>
      </c>
      <c r="D97" s="1">
        <v>113.573975</v>
      </c>
      <c r="E97" s="1">
        <v>3.0442939999999998</v>
      </c>
      <c r="F97" s="1">
        <v>-2.0212210000000002</v>
      </c>
      <c r="G97" s="1">
        <v>-3.2227109999999999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</row>
    <row r="98" spans="1:30" x14ac:dyDescent="0.35">
      <c r="A98" s="1">
        <v>1800</v>
      </c>
      <c r="B98" s="1">
        <v>13.546991999999999</v>
      </c>
      <c r="C98" s="1">
        <v>135.75722999999999</v>
      </c>
      <c r="D98" s="1">
        <v>113.573975</v>
      </c>
      <c r="E98" s="1">
        <v>3.74838</v>
      </c>
      <c r="F98" s="1">
        <v>-1.618088</v>
      </c>
      <c r="G98" s="1">
        <v>-1.385983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</row>
    <row r="99" spans="1:30" x14ac:dyDescent="0.35">
      <c r="A99" s="1">
        <v>1820</v>
      </c>
      <c r="B99" s="1">
        <v>13.691338</v>
      </c>
      <c r="C99" s="1">
        <v>134.799825</v>
      </c>
      <c r="D99" s="1">
        <v>113.573975</v>
      </c>
      <c r="E99" s="1">
        <v>2.9827279999999998</v>
      </c>
      <c r="F99" s="1">
        <v>-0.55398400000000003</v>
      </c>
      <c r="G99" s="1">
        <v>-1.6367419999999999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</row>
    <row r="100" spans="1:30" x14ac:dyDescent="0.35">
      <c r="A100" s="1">
        <v>1840</v>
      </c>
      <c r="B100" s="1">
        <v>13.836316</v>
      </c>
      <c r="C100" s="1">
        <v>135.71471600000001</v>
      </c>
      <c r="D100" s="1">
        <v>113.573975</v>
      </c>
      <c r="E100" s="1">
        <v>2.3951630000000002</v>
      </c>
      <c r="F100" s="1">
        <v>-0.83373900000000001</v>
      </c>
      <c r="G100" s="1">
        <v>-1.693079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</row>
    <row r="101" spans="1:30" x14ac:dyDescent="0.35">
      <c r="A101" s="1">
        <v>1860</v>
      </c>
      <c r="B101" s="1">
        <v>13.976281999999999</v>
      </c>
      <c r="C101" s="1">
        <v>134.90546800000001</v>
      </c>
      <c r="D101" s="1">
        <v>113.573975</v>
      </c>
      <c r="E101" s="1">
        <v>1.318146</v>
      </c>
      <c r="F101" s="1">
        <v>2.0720719999999999</v>
      </c>
      <c r="G101" s="1">
        <v>0.66412700000000002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</row>
    <row r="102" spans="1:30" x14ac:dyDescent="0.35">
      <c r="A102" s="1">
        <v>1880</v>
      </c>
      <c r="B102" s="1">
        <v>14.119403999999999</v>
      </c>
      <c r="C102" s="1">
        <v>139.97003900000001</v>
      </c>
      <c r="D102" s="1">
        <v>113.573975</v>
      </c>
      <c r="E102" s="1">
        <v>1.208734</v>
      </c>
      <c r="F102" s="1">
        <v>2.8269489999999999</v>
      </c>
      <c r="G102" s="1">
        <v>-1.0267729999999999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</row>
    <row r="103" spans="1:30" x14ac:dyDescent="0.35">
      <c r="A103" s="1">
        <v>1900</v>
      </c>
      <c r="B103" s="1">
        <v>14.257099</v>
      </c>
      <c r="C103" s="1">
        <v>142.73873499999999</v>
      </c>
      <c r="D103" s="1">
        <v>113.573975</v>
      </c>
      <c r="E103" s="1">
        <v>0.19690199999999999</v>
      </c>
      <c r="F103" s="1">
        <v>3.310454</v>
      </c>
      <c r="G103" s="1">
        <v>-0.54010100000000005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</row>
    <row r="104" spans="1:30" x14ac:dyDescent="0.35">
      <c r="A104" s="1">
        <v>1920</v>
      </c>
      <c r="B104" s="1">
        <v>14.39278</v>
      </c>
      <c r="C104" s="1">
        <v>141.78412399999999</v>
      </c>
      <c r="D104" s="1">
        <v>113.573975</v>
      </c>
      <c r="E104" s="1">
        <v>-0.219969</v>
      </c>
      <c r="F104" s="1">
        <v>2.8141699999999998</v>
      </c>
      <c r="G104" s="1">
        <v>-0.58033599999999996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</row>
    <row r="105" spans="1:30" x14ac:dyDescent="0.35">
      <c r="A105" s="1">
        <v>1940</v>
      </c>
      <c r="B105" s="1">
        <v>14.529007</v>
      </c>
      <c r="C105" s="1">
        <v>135.81977699999999</v>
      </c>
      <c r="D105" s="1">
        <v>113.573975</v>
      </c>
      <c r="E105" s="1">
        <v>-0.86146699999999998</v>
      </c>
      <c r="F105" s="1">
        <v>2.930993</v>
      </c>
      <c r="G105" s="1">
        <v>-0.45754299999999998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</row>
    <row r="106" spans="1:30" x14ac:dyDescent="0.35">
      <c r="A106" s="1">
        <v>1960</v>
      </c>
      <c r="B106" s="1">
        <v>14.668747</v>
      </c>
      <c r="C106" s="1">
        <v>143.640176</v>
      </c>
      <c r="D106" s="1">
        <v>113.573975</v>
      </c>
      <c r="E106" s="1">
        <v>-2.0101040000000001</v>
      </c>
      <c r="F106" s="1">
        <v>3.9111E-2</v>
      </c>
      <c r="G106" s="1">
        <v>1.0470619999999999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</row>
    <row r="107" spans="1:30" x14ac:dyDescent="0.35">
      <c r="A107" s="1">
        <v>1980</v>
      </c>
      <c r="B107" s="1">
        <v>14.825513000000001</v>
      </c>
      <c r="C107" s="1">
        <v>136.41824500000001</v>
      </c>
      <c r="D107" s="1">
        <v>113.573975</v>
      </c>
      <c r="E107" s="1">
        <v>-2.5492789999999999</v>
      </c>
      <c r="F107" s="1">
        <v>-1.1670259999999999</v>
      </c>
      <c r="G107" s="1">
        <v>1.6246419999999999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</row>
    <row r="108" spans="1:30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</row>
    <row r="109" spans="1:30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</row>
    <row r="110" spans="1:30" x14ac:dyDescent="0.35">
      <c r="A110" t="s">
        <v>42</v>
      </c>
      <c r="B110" s="1">
        <v>2</v>
      </c>
      <c r="C110" s="1">
        <v>8</v>
      </c>
      <c r="D110" s="1">
        <v>13</v>
      </c>
      <c r="E110" s="1">
        <v>31</v>
      </c>
      <c r="F110" s="1">
        <v>58</v>
      </c>
      <c r="G110" s="1">
        <v>67</v>
      </c>
      <c r="H110" s="1">
        <v>74</v>
      </c>
      <c r="I110" s="1">
        <v>71</v>
      </c>
      <c r="J110" s="1">
        <v>81</v>
      </c>
      <c r="K110" s="1">
        <v>78</v>
      </c>
      <c r="L110" s="1">
        <v>95</v>
      </c>
      <c r="M110" s="1">
        <v>74</v>
      </c>
      <c r="N110" s="1">
        <v>84</v>
      </c>
      <c r="O110" s="1">
        <v>63</v>
      </c>
      <c r="P110" s="1">
        <v>39</v>
      </c>
      <c r="Q110" s="1">
        <v>44</v>
      </c>
      <c r="R110" s="1">
        <v>31</v>
      </c>
      <c r="S110" s="1">
        <v>24</v>
      </c>
      <c r="T110" s="1">
        <v>22</v>
      </c>
      <c r="U110" s="1">
        <v>18</v>
      </c>
      <c r="V110" s="1">
        <v>9</v>
      </c>
      <c r="W110" s="1">
        <v>7</v>
      </c>
      <c r="X110" s="1">
        <v>2</v>
      </c>
      <c r="Y110" s="1">
        <v>2</v>
      </c>
      <c r="Z110" s="1">
        <v>0</v>
      </c>
      <c r="AA110" s="1">
        <v>1</v>
      </c>
      <c r="AB110" s="1">
        <v>1</v>
      </c>
      <c r="AC110" s="1">
        <v>0</v>
      </c>
      <c r="AD110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C854-FF09-4D44-8391-7AC81314FB02}">
  <dimension ref="A1:AB110"/>
  <sheetViews>
    <sheetView workbookViewId="0">
      <selection activeCell="B3" sqref="A1:AB110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28" width="11.542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29</v>
      </c>
      <c r="B2" s="1">
        <v>6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</row>
    <row r="3" spans="1:28" x14ac:dyDescent="0.35">
      <c r="A3" t="s">
        <v>31</v>
      </c>
      <c r="B3" s="1">
        <v>1000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</row>
    <row r="4" spans="1:28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</row>
    <row r="5" spans="1:28" x14ac:dyDescent="0.35">
      <c r="A5" t="s">
        <v>33</v>
      </c>
      <c r="B5" s="1">
        <v>1000000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</row>
    <row r="6" spans="1:28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</row>
    <row r="7" spans="1:28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</row>
    <row r="8" spans="1:28" x14ac:dyDescent="0.35">
      <c r="A8" s="1">
        <v>0</v>
      </c>
      <c r="B8" s="1">
        <v>1.4367E-2</v>
      </c>
      <c r="C8" s="1">
        <v>-1.8860000000000001E-3</v>
      </c>
      <c r="D8" s="1">
        <v>115.92115800000001</v>
      </c>
      <c r="E8" s="1">
        <v>100.27623</v>
      </c>
      <c r="F8" s="1">
        <v>1.4674E-2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</row>
    <row r="9" spans="1:28" x14ac:dyDescent="0.35">
      <c r="A9" s="1">
        <v>20</v>
      </c>
      <c r="B9" s="1">
        <v>0.49586200000000002</v>
      </c>
      <c r="C9" s="1">
        <v>242.340462</v>
      </c>
      <c r="D9" s="1">
        <v>115.92115800000001</v>
      </c>
      <c r="E9" s="1">
        <v>-13.673565999999999</v>
      </c>
      <c r="F9" s="1">
        <v>0.46736100000000003</v>
      </c>
      <c r="G9" s="1">
        <v>1.1212789999999999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</row>
    <row r="10" spans="1:28" x14ac:dyDescent="0.35">
      <c r="A10" s="1">
        <v>40</v>
      </c>
      <c r="B10" s="1">
        <v>0.83040599999999998</v>
      </c>
      <c r="C10" s="1">
        <v>325.22975500000001</v>
      </c>
      <c r="D10" s="1">
        <v>115.92115800000001</v>
      </c>
      <c r="E10" s="1">
        <v>-36.291859000000002</v>
      </c>
      <c r="F10" s="1">
        <v>2.7538E-2</v>
      </c>
      <c r="G10" s="1">
        <v>1.96373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</row>
    <row r="11" spans="1:28" x14ac:dyDescent="0.35">
      <c r="A11" s="1">
        <v>60</v>
      </c>
      <c r="B11" s="1">
        <v>0.99234699999999998</v>
      </c>
      <c r="C11" s="1">
        <v>274.197183</v>
      </c>
      <c r="D11" s="1">
        <v>115.92115800000001</v>
      </c>
      <c r="E11" s="1">
        <v>-24.283208999999999</v>
      </c>
      <c r="F11" s="1">
        <v>-2.3999130000000002</v>
      </c>
      <c r="G11" s="1">
        <v>-3.0686999999999999E-2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</row>
    <row r="12" spans="1:28" x14ac:dyDescent="0.35">
      <c r="A12" s="1">
        <v>80</v>
      </c>
      <c r="B12" s="1">
        <v>1.1749529999999999</v>
      </c>
      <c r="C12" s="1">
        <v>76.802975000000004</v>
      </c>
      <c r="D12" s="1">
        <v>115.92115800000001</v>
      </c>
      <c r="E12" s="1">
        <v>-4.3423980000000002</v>
      </c>
      <c r="F12" s="1">
        <v>-4.1387669999999996</v>
      </c>
      <c r="G12" s="1">
        <v>2.7886440000000001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</row>
    <row r="13" spans="1:28" x14ac:dyDescent="0.35">
      <c r="A13" s="1">
        <v>100</v>
      </c>
      <c r="B13" s="1">
        <v>1.386746</v>
      </c>
      <c r="C13" s="1">
        <v>209.68069800000001</v>
      </c>
      <c r="D13" s="1">
        <v>115.92115800000001</v>
      </c>
      <c r="E13" s="1">
        <v>5.9475410000000002</v>
      </c>
      <c r="F13" s="1">
        <v>-3.3834520000000001</v>
      </c>
      <c r="G13" s="1">
        <v>0.34648899999999999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</row>
    <row r="14" spans="1:28" x14ac:dyDescent="0.35">
      <c r="A14" s="1">
        <v>120</v>
      </c>
      <c r="B14" s="1">
        <v>1.5345230000000001</v>
      </c>
      <c r="C14" s="1">
        <v>213.80751100000001</v>
      </c>
      <c r="D14" s="1">
        <v>115.92115800000001</v>
      </c>
      <c r="E14" s="1">
        <v>7.5672769999999998</v>
      </c>
      <c r="F14" s="1">
        <v>-2.6326670000000001</v>
      </c>
      <c r="G14" s="1">
        <v>1.124347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</row>
    <row r="15" spans="1:28" x14ac:dyDescent="0.35">
      <c r="A15" s="1">
        <v>140</v>
      </c>
      <c r="B15" s="1">
        <v>1.7107250000000001</v>
      </c>
      <c r="C15" s="1">
        <v>190.270409</v>
      </c>
      <c r="D15" s="1">
        <v>115.92115800000001</v>
      </c>
      <c r="E15" s="1">
        <v>-1.96177</v>
      </c>
      <c r="F15" s="1">
        <v>-2.6943350000000001</v>
      </c>
      <c r="G15" s="1">
        <v>-0.74194800000000005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</row>
    <row r="16" spans="1:28" x14ac:dyDescent="0.35">
      <c r="A16" s="1">
        <v>160</v>
      </c>
      <c r="B16" s="1">
        <v>1.8820730000000001</v>
      </c>
      <c r="C16" s="1">
        <v>237.28107700000001</v>
      </c>
      <c r="D16" s="1">
        <v>115.92115800000001</v>
      </c>
      <c r="E16" s="1">
        <v>-4.0920529999999999</v>
      </c>
      <c r="F16" s="1">
        <v>2.1866150000000002</v>
      </c>
      <c r="G16" s="1">
        <v>-2.2457340000000001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</row>
    <row r="17" spans="1:28" x14ac:dyDescent="0.35">
      <c r="A17" s="1">
        <v>180</v>
      </c>
      <c r="B17" s="1">
        <v>2.0257209999999999</v>
      </c>
      <c r="C17" s="1">
        <v>264.40990399999998</v>
      </c>
      <c r="D17" s="1">
        <v>115.92115800000001</v>
      </c>
      <c r="E17" s="1">
        <v>-8.9451879999999999</v>
      </c>
      <c r="F17" s="1">
        <v>2.9214000000000002</v>
      </c>
      <c r="G17" s="1">
        <v>0.126222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</row>
    <row r="18" spans="1:28" x14ac:dyDescent="0.35">
      <c r="A18" s="1">
        <v>200</v>
      </c>
      <c r="B18" s="1">
        <v>2.1663359999999998</v>
      </c>
      <c r="C18" s="1">
        <v>248.20681500000001</v>
      </c>
      <c r="D18" s="1">
        <v>115.92115800000001</v>
      </c>
      <c r="E18" s="1">
        <v>-6.8543479999999999</v>
      </c>
      <c r="F18" s="1">
        <v>3.6022729999999998</v>
      </c>
      <c r="G18" s="1">
        <v>-3.707465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</row>
    <row r="19" spans="1:28" x14ac:dyDescent="0.35">
      <c r="A19" s="1">
        <v>220</v>
      </c>
      <c r="B19" s="1">
        <v>2.3070780000000002</v>
      </c>
      <c r="C19" s="1">
        <v>275.46836400000001</v>
      </c>
      <c r="D19" s="1">
        <v>115.92115800000001</v>
      </c>
      <c r="E19" s="1">
        <v>-6.7909050000000004</v>
      </c>
      <c r="F19" s="1">
        <v>1.442669</v>
      </c>
      <c r="G19" s="1">
        <v>-5.8691509999999996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</row>
    <row r="20" spans="1:28" x14ac:dyDescent="0.35">
      <c r="A20" s="1">
        <v>240</v>
      </c>
      <c r="B20" s="1">
        <v>2.4454120000000001</v>
      </c>
      <c r="C20" s="1">
        <v>261.20192300000002</v>
      </c>
      <c r="D20" s="1">
        <v>115.92115800000001</v>
      </c>
      <c r="E20" s="1">
        <v>-2.3975599999999999</v>
      </c>
      <c r="F20" s="1">
        <v>0.56473600000000002</v>
      </c>
      <c r="G20" s="1">
        <v>-3.028899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</row>
    <row r="21" spans="1:28" x14ac:dyDescent="0.35">
      <c r="A21" s="1">
        <v>260</v>
      </c>
      <c r="B21" s="1">
        <v>2.5904069999999999</v>
      </c>
      <c r="C21" s="1">
        <v>248.87787900000001</v>
      </c>
      <c r="D21" s="1">
        <v>115.92115800000001</v>
      </c>
      <c r="E21" s="1">
        <v>0.15708800000000001</v>
      </c>
      <c r="F21" s="1">
        <v>-1.0745210000000001</v>
      </c>
      <c r="G21" s="1">
        <v>1.0685990000000001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</row>
    <row r="22" spans="1:28" x14ac:dyDescent="0.35">
      <c r="A22" s="1">
        <v>280</v>
      </c>
      <c r="B22" s="1">
        <v>2.7337899999999999</v>
      </c>
      <c r="C22" s="1">
        <v>242.358732</v>
      </c>
      <c r="D22" s="1">
        <v>115.92115800000001</v>
      </c>
      <c r="E22" s="1">
        <v>-2.193667</v>
      </c>
      <c r="F22" s="1">
        <v>-1.775436</v>
      </c>
      <c r="G22" s="1">
        <v>0.95979700000000001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</row>
    <row r="23" spans="1:28" x14ac:dyDescent="0.35">
      <c r="A23" s="1">
        <v>300</v>
      </c>
      <c r="B23" s="1">
        <v>2.8818619999999999</v>
      </c>
      <c r="C23" s="1">
        <v>260.75047599999999</v>
      </c>
      <c r="D23" s="1">
        <v>115.92115800000001</v>
      </c>
      <c r="E23" s="1">
        <v>-4.4477570000000002</v>
      </c>
      <c r="F23" s="1">
        <v>-0.36700700000000003</v>
      </c>
      <c r="G23" s="1">
        <v>-0.42220800000000003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</row>
    <row r="24" spans="1:28" x14ac:dyDescent="0.35">
      <c r="A24" s="1">
        <v>320</v>
      </c>
      <c r="B24" s="1">
        <v>3.0228609999999998</v>
      </c>
      <c r="C24" s="1">
        <v>230.295266</v>
      </c>
      <c r="D24" s="1">
        <v>115.92115800000001</v>
      </c>
      <c r="E24" s="1">
        <v>-0.41906300000000002</v>
      </c>
      <c r="F24" s="1">
        <v>2.1530779999999998</v>
      </c>
      <c r="G24" s="1">
        <v>1.2751669999999999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</row>
    <row r="25" spans="1:28" x14ac:dyDescent="0.35">
      <c r="A25" s="1">
        <v>340</v>
      </c>
      <c r="B25" s="1">
        <v>3.1645620000000001</v>
      </c>
      <c r="C25" s="1">
        <v>204.64450500000001</v>
      </c>
      <c r="D25" s="1">
        <v>115.92115800000001</v>
      </c>
      <c r="E25" s="1">
        <v>-0.64196600000000004</v>
      </c>
      <c r="F25" s="1">
        <v>3.263639</v>
      </c>
      <c r="G25" s="1">
        <v>0.52290800000000004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</row>
    <row r="26" spans="1:28" x14ac:dyDescent="0.35">
      <c r="A26" s="1">
        <v>360</v>
      </c>
      <c r="B26" s="1">
        <v>3.3077580000000002</v>
      </c>
      <c r="C26" s="1">
        <v>209.96306300000001</v>
      </c>
      <c r="D26" s="1">
        <v>115.92115800000001</v>
      </c>
      <c r="E26" s="1">
        <v>-1.160922</v>
      </c>
      <c r="F26" s="1">
        <v>8.5570000000000004E-3</v>
      </c>
      <c r="G26" s="1">
        <v>0.42208299999999999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</row>
    <row r="27" spans="1:28" x14ac:dyDescent="0.35">
      <c r="A27" s="1">
        <v>380</v>
      </c>
      <c r="B27" s="1">
        <v>3.449694</v>
      </c>
      <c r="C27" s="1">
        <v>222.52308500000001</v>
      </c>
      <c r="D27" s="1">
        <v>115.92115800000001</v>
      </c>
      <c r="E27" s="1">
        <v>0.532138</v>
      </c>
      <c r="F27" s="1">
        <v>-0.73231500000000005</v>
      </c>
      <c r="G27" s="1">
        <v>1.2395659999999999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</row>
    <row r="28" spans="1:28" x14ac:dyDescent="0.35">
      <c r="A28" s="1">
        <v>400</v>
      </c>
      <c r="B28" s="1">
        <v>3.5931890000000002</v>
      </c>
      <c r="C28" s="1">
        <v>244.525373</v>
      </c>
      <c r="D28" s="1">
        <v>115.92115800000001</v>
      </c>
      <c r="E28" s="1">
        <v>-0.16191700000000001</v>
      </c>
      <c r="F28" s="1">
        <v>-0.25346099999999999</v>
      </c>
      <c r="G28" s="1">
        <v>1.8011459999999999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</row>
    <row r="29" spans="1:28" x14ac:dyDescent="0.35">
      <c r="A29" s="1">
        <v>420</v>
      </c>
      <c r="B29" s="1">
        <v>3.7376320000000001</v>
      </c>
      <c r="C29" s="1">
        <v>216.33058299999999</v>
      </c>
      <c r="D29" s="1">
        <v>115.92115800000001</v>
      </c>
      <c r="E29" s="1">
        <v>2.4519690000000001</v>
      </c>
      <c r="F29" s="1">
        <v>1.99038</v>
      </c>
      <c r="G29" s="1">
        <v>2.554297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</row>
    <row r="30" spans="1:28" x14ac:dyDescent="0.35">
      <c r="A30" s="1">
        <v>440</v>
      </c>
      <c r="B30" s="1">
        <v>3.881014</v>
      </c>
      <c r="C30" s="1">
        <v>186.35601500000001</v>
      </c>
      <c r="D30" s="1">
        <v>115.92115800000001</v>
      </c>
      <c r="E30" s="1">
        <v>2.3636059999999999</v>
      </c>
      <c r="F30" s="1">
        <v>1.404752</v>
      </c>
      <c r="G30" s="1">
        <v>3.9798740000000001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</row>
    <row r="31" spans="1:28" x14ac:dyDescent="0.35">
      <c r="A31" s="1">
        <v>460</v>
      </c>
      <c r="B31" s="1">
        <v>4.0282530000000003</v>
      </c>
      <c r="C31" s="1">
        <v>230.717422</v>
      </c>
      <c r="D31" s="1">
        <v>115.92115800000001</v>
      </c>
      <c r="E31" s="1">
        <v>1.501107</v>
      </c>
      <c r="F31" s="1">
        <v>2.0562390000000001</v>
      </c>
      <c r="G31" s="1">
        <v>3.3876870000000001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</row>
    <row r="32" spans="1:28" x14ac:dyDescent="0.35">
      <c r="A32" s="1">
        <v>480</v>
      </c>
      <c r="B32" s="1">
        <v>4.1667350000000001</v>
      </c>
      <c r="C32" s="1">
        <v>224.48610600000001</v>
      </c>
      <c r="D32" s="1">
        <v>115.92115800000001</v>
      </c>
      <c r="E32" s="1">
        <v>1.584306</v>
      </c>
      <c r="F32" s="1">
        <v>1.592992</v>
      </c>
      <c r="G32" s="1">
        <v>2.6006079999999998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</row>
    <row r="33" spans="1:28" x14ac:dyDescent="0.35">
      <c r="A33" s="1">
        <v>500</v>
      </c>
      <c r="B33" s="1">
        <v>4.30586</v>
      </c>
      <c r="C33" s="1">
        <v>233.91791799999999</v>
      </c>
      <c r="D33" s="1">
        <v>115.92115800000001</v>
      </c>
      <c r="E33" s="1">
        <v>2.657673</v>
      </c>
      <c r="F33" s="1">
        <v>3.2571999999999997E-2</v>
      </c>
      <c r="G33" s="1">
        <v>-1.842697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</row>
    <row r="34" spans="1:28" x14ac:dyDescent="0.35">
      <c r="A34" s="1">
        <v>520</v>
      </c>
      <c r="B34" s="1">
        <v>4.4448800000000004</v>
      </c>
      <c r="C34" s="1">
        <v>240.35638700000001</v>
      </c>
      <c r="D34" s="1">
        <v>115.92115800000001</v>
      </c>
      <c r="E34" s="1">
        <v>0.15312799999999999</v>
      </c>
      <c r="F34" s="1">
        <v>1.0674920000000001</v>
      </c>
      <c r="G34" s="1">
        <v>-3.3160210000000001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</row>
    <row r="35" spans="1:28" x14ac:dyDescent="0.35">
      <c r="A35" s="1">
        <v>540</v>
      </c>
      <c r="B35" s="1">
        <v>4.5842989999999997</v>
      </c>
      <c r="C35" s="1">
        <v>256.08161999999999</v>
      </c>
      <c r="D35" s="1">
        <v>115.92115800000001</v>
      </c>
      <c r="E35" s="1">
        <v>-0.57429600000000003</v>
      </c>
      <c r="F35" s="1">
        <v>-2.5538449999999999</v>
      </c>
      <c r="G35" s="1">
        <v>-3.8441480000000001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</row>
    <row r="36" spans="1:28" x14ac:dyDescent="0.35">
      <c r="A36" s="1">
        <v>560</v>
      </c>
      <c r="B36" s="1">
        <v>4.7212389999999997</v>
      </c>
      <c r="C36" s="1">
        <v>255.082741</v>
      </c>
      <c r="D36" s="1">
        <v>115.92115800000001</v>
      </c>
      <c r="E36" s="1">
        <v>1.1831689999999999</v>
      </c>
      <c r="F36" s="1">
        <v>-1.7577449999999999</v>
      </c>
      <c r="G36" s="1">
        <v>-2.4883139999999999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</row>
    <row r="37" spans="1:28" x14ac:dyDescent="0.35">
      <c r="A37" s="1">
        <v>580</v>
      </c>
      <c r="B37" s="1">
        <v>4.857507</v>
      </c>
      <c r="C37" s="1">
        <v>259.24663500000003</v>
      </c>
      <c r="D37" s="1">
        <v>115.92115800000001</v>
      </c>
      <c r="E37" s="1">
        <v>0.30375099999999999</v>
      </c>
      <c r="F37" s="1">
        <v>0.58564400000000005</v>
      </c>
      <c r="G37" s="1">
        <v>-6.2364660000000001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</row>
    <row r="38" spans="1:28" x14ac:dyDescent="0.35">
      <c r="A38" s="1">
        <v>600</v>
      </c>
      <c r="B38" s="1">
        <v>4.9959629999999997</v>
      </c>
      <c r="C38" s="1">
        <v>255.55845600000001</v>
      </c>
      <c r="D38" s="1">
        <v>115.92115800000001</v>
      </c>
      <c r="E38" s="1">
        <v>0.55111500000000002</v>
      </c>
      <c r="F38" s="1">
        <v>0.24155399999999999</v>
      </c>
      <c r="G38" s="1">
        <v>-3.8489450000000001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</row>
    <row r="39" spans="1:28" x14ac:dyDescent="0.35">
      <c r="A39" s="1">
        <v>620</v>
      </c>
      <c r="B39" s="1">
        <v>5.1370870000000002</v>
      </c>
      <c r="C39" s="1">
        <v>156.48883599999999</v>
      </c>
      <c r="D39" s="1">
        <v>115.92115800000001</v>
      </c>
      <c r="E39" s="1">
        <v>-3.0276999999999998E-2</v>
      </c>
      <c r="F39" s="1">
        <v>0.28832799999999997</v>
      </c>
      <c r="G39" s="1">
        <v>-1.0880069999999999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</row>
    <row r="40" spans="1:28" x14ac:dyDescent="0.35">
      <c r="A40" s="1">
        <v>640</v>
      </c>
      <c r="B40" s="1">
        <v>5.3005040000000001</v>
      </c>
      <c r="C40" s="1">
        <v>190.36351099999999</v>
      </c>
      <c r="D40" s="1">
        <v>115.92115800000001</v>
      </c>
      <c r="E40" s="1">
        <v>0.79727800000000004</v>
      </c>
      <c r="F40" s="1">
        <v>-1.2975179999999999</v>
      </c>
      <c r="G40" s="1">
        <v>1.6340110000000001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</row>
    <row r="41" spans="1:28" x14ac:dyDescent="0.35">
      <c r="A41" s="1">
        <v>660</v>
      </c>
      <c r="B41" s="1">
        <v>5.4764010000000001</v>
      </c>
      <c r="C41" s="1">
        <v>241.333853</v>
      </c>
      <c r="D41" s="1">
        <v>115.92115800000001</v>
      </c>
      <c r="E41" s="1">
        <v>-0.38375799999999999</v>
      </c>
      <c r="F41" s="1">
        <v>-3.8492579999999998</v>
      </c>
      <c r="G41" s="1">
        <v>2.8927309999999999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</row>
    <row r="42" spans="1:28" x14ac:dyDescent="0.35">
      <c r="A42" s="1">
        <v>680</v>
      </c>
      <c r="B42" s="1">
        <v>5.630166</v>
      </c>
      <c r="C42" s="1">
        <v>247.818871</v>
      </c>
      <c r="D42" s="1">
        <v>115.92115800000001</v>
      </c>
      <c r="E42" s="1">
        <v>-3.4191919999999998</v>
      </c>
      <c r="F42" s="1">
        <v>-1.4430860000000001</v>
      </c>
      <c r="G42" s="1">
        <v>1.769787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</row>
    <row r="43" spans="1:28" x14ac:dyDescent="0.35">
      <c r="A43" s="1">
        <v>700</v>
      </c>
      <c r="B43" s="1">
        <v>5.7830880000000002</v>
      </c>
      <c r="C43" s="1">
        <v>209.62156200000001</v>
      </c>
      <c r="D43" s="1">
        <v>115.92115800000001</v>
      </c>
      <c r="E43" s="1">
        <v>-3.547587</v>
      </c>
      <c r="F43" s="1">
        <v>-1.1870480000000001</v>
      </c>
      <c r="G43" s="1">
        <v>0.71491400000000005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</row>
    <row r="44" spans="1:28" x14ac:dyDescent="0.35">
      <c r="A44" s="1">
        <v>720</v>
      </c>
      <c r="B44" s="1">
        <v>5.9485530000000004</v>
      </c>
      <c r="C44" s="1">
        <v>234.503242</v>
      </c>
      <c r="D44" s="1">
        <v>115.92115800000001</v>
      </c>
      <c r="E44" s="1">
        <v>-0.10081900000000001</v>
      </c>
      <c r="F44" s="1">
        <v>0.34350700000000001</v>
      </c>
      <c r="G44" s="1">
        <v>1.840468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</row>
    <row r="45" spans="1:28" x14ac:dyDescent="0.35">
      <c r="A45" s="1">
        <v>740</v>
      </c>
      <c r="B45" s="1">
        <v>6.0860799999999999</v>
      </c>
      <c r="C45" s="1">
        <v>240.47413800000001</v>
      </c>
      <c r="D45" s="1">
        <v>115.92115800000001</v>
      </c>
      <c r="E45" s="1">
        <v>-0.98672700000000002</v>
      </c>
      <c r="F45" s="1">
        <v>0.57691599999999998</v>
      </c>
      <c r="G45" s="1">
        <v>2.4081079999999999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</row>
    <row r="46" spans="1:28" x14ac:dyDescent="0.35">
      <c r="A46" s="1">
        <v>760</v>
      </c>
      <c r="B46" s="1">
        <v>6.229139</v>
      </c>
      <c r="C46" s="1">
        <v>240.012044</v>
      </c>
      <c r="D46" s="1">
        <v>115.92115800000001</v>
      </c>
      <c r="E46" s="1">
        <v>-1.4342760000000001</v>
      </c>
      <c r="F46" s="1">
        <v>-0.480742</v>
      </c>
      <c r="G46" s="1">
        <v>1.9233359999999999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</row>
    <row r="47" spans="1:28" x14ac:dyDescent="0.35">
      <c r="A47" s="1">
        <v>780</v>
      </c>
      <c r="B47" s="1">
        <v>6.4015069999999996</v>
      </c>
      <c r="C47" s="1">
        <v>171.633655</v>
      </c>
      <c r="D47" s="1">
        <v>115.92115800000001</v>
      </c>
      <c r="E47" s="1">
        <v>-0.76161299999999998</v>
      </c>
      <c r="F47" s="1">
        <v>2.134217</v>
      </c>
      <c r="G47" s="1">
        <v>3.0743770000000001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</row>
    <row r="48" spans="1:28" x14ac:dyDescent="0.35">
      <c r="A48" s="1">
        <v>800</v>
      </c>
      <c r="B48" s="1">
        <v>6.582281</v>
      </c>
      <c r="C48" s="1">
        <v>221.990936</v>
      </c>
      <c r="D48" s="1">
        <v>115.92115800000001</v>
      </c>
      <c r="E48" s="1">
        <v>-0.830874</v>
      </c>
      <c r="F48" s="1">
        <v>2.321879</v>
      </c>
      <c r="G48" s="1">
        <v>1.6983760000000001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</row>
    <row r="49" spans="1:28" x14ac:dyDescent="0.35">
      <c r="A49" s="1">
        <v>820</v>
      </c>
      <c r="B49" s="1">
        <v>6.7278779999999996</v>
      </c>
      <c r="C49" s="1">
        <v>242.76422600000001</v>
      </c>
      <c r="D49" s="1">
        <v>115.92115800000001</v>
      </c>
      <c r="E49" s="1">
        <v>-5.7562000000000002E-2</v>
      </c>
      <c r="F49" s="1">
        <v>-1.1256109999999999</v>
      </c>
      <c r="G49" s="1">
        <v>3.2243719999999998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</row>
    <row r="50" spans="1:28" x14ac:dyDescent="0.35">
      <c r="A50" s="1">
        <v>840</v>
      </c>
      <c r="B50" s="1">
        <v>6.8702629999999996</v>
      </c>
      <c r="C50" s="1">
        <v>213.928224</v>
      </c>
      <c r="D50" s="1">
        <v>115.92115800000001</v>
      </c>
      <c r="E50" s="1">
        <v>-1.4994E-2</v>
      </c>
      <c r="F50" s="1">
        <v>2.0275999999999999E-2</v>
      </c>
      <c r="G50" s="1">
        <v>-1.0424640000000001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</row>
    <row r="51" spans="1:28" x14ac:dyDescent="0.35">
      <c r="A51" s="1">
        <v>860</v>
      </c>
      <c r="B51" s="1">
        <v>7.0114549999999998</v>
      </c>
      <c r="C51" s="1">
        <v>254.62543400000001</v>
      </c>
      <c r="D51" s="1">
        <v>115.92115800000001</v>
      </c>
      <c r="E51" s="1">
        <v>-2.1466599999999998</v>
      </c>
      <c r="F51" s="1">
        <v>0.97638400000000003</v>
      </c>
      <c r="G51" s="1">
        <v>-0.74333800000000005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</row>
    <row r="52" spans="1:28" x14ac:dyDescent="0.35">
      <c r="A52" s="1">
        <v>880</v>
      </c>
      <c r="B52" s="1">
        <v>7.1558320000000002</v>
      </c>
      <c r="C52" s="1">
        <v>250.55761899999999</v>
      </c>
      <c r="D52" s="1">
        <v>115.92115800000001</v>
      </c>
      <c r="E52" s="1">
        <v>-1.7687889999999999</v>
      </c>
      <c r="F52" s="1">
        <v>0.35585299999999997</v>
      </c>
      <c r="G52" s="1">
        <v>3.4431999999999997E-2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</row>
    <row r="53" spans="1:28" x14ac:dyDescent="0.35">
      <c r="A53" s="1">
        <v>900</v>
      </c>
      <c r="B53" s="1">
        <v>7.3068609999999996</v>
      </c>
      <c r="C53" s="1">
        <v>235.17144500000001</v>
      </c>
      <c r="D53" s="1">
        <v>115.92115800000001</v>
      </c>
      <c r="E53" s="1">
        <v>-0.42083300000000001</v>
      </c>
      <c r="F53" s="1">
        <v>-0.23026099999999999</v>
      </c>
      <c r="G53" s="1">
        <v>-0.90520400000000001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</row>
    <row r="54" spans="1:28" x14ac:dyDescent="0.35">
      <c r="A54" s="1">
        <v>920</v>
      </c>
      <c r="B54" s="1">
        <v>7.4555730000000002</v>
      </c>
      <c r="C54" s="1">
        <v>209.82278400000001</v>
      </c>
      <c r="D54" s="1">
        <v>115.92115800000001</v>
      </c>
      <c r="E54" s="1">
        <v>4.9557999999999998E-2</v>
      </c>
      <c r="F54" s="1">
        <v>0.56422700000000003</v>
      </c>
      <c r="G54" s="1">
        <v>-1.4956370000000001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</row>
    <row r="55" spans="1:28" x14ac:dyDescent="0.35">
      <c r="A55" s="1">
        <v>940</v>
      </c>
      <c r="B55" s="1">
        <v>7.5975640000000002</v>
      </c>
      <c r="C55" s="1">
        <v>249.70432600000001</v>
      </c>
      <c r="D55" s="1">
        <v>115.92115800000001</v>
      </c>
      <c r="E55" s="1">
        <v>1.308613</v>
      </c>
      <c r="F55" s="1">
        <v>-0.27854600000000002</v>
      </c>
      <c r="G55" s="1">
        <v>-2.5238309999999999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</row>
    <row r="56" spans="1:28" x14ac:dyDescent="0.35">
      <c r="A56" s="1">
        <v>960</v>
      </c>
      <c r="B56" s="1">
        <v>7.7391509999999997</v>
      </c>
      <c r="C56" s="1">
        <v>246.057422</v>
      </c>
      <c r="D56" s="1">
        <v>115.92115800000001</v>
      </c>
      <c r="E56" s="1">
        <v>1.628997</v>
      </c>
      <c r="F56" s="1">
        <v>0.92391599999999996</v>
      </c>
      <c r="G56" s="1">
        <v>-1.336449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</row>
    <row r="57" spans="1:28" x14ac:dyDescent="0.35">
      <c r="A57" s="1">
        <v>980</v>
      </c>
      <c r="B57" s="1">
        <v>7.8830499999999999</v>
      </c>
      <c r="C57" s="1">
        <v>224.523639</v>
      </c>
      <c r="D57" s="1">
        <v>115.92115800000001</v>
      </c>
      <c r="E57" s="1">
        <v>2.1492930000000001</v>
      </c>
      <c r="F57" s="1">
        <v>-0.214285</v>
      </c>
      <c r="G57" s="1">
        <v>1.3012060000000001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</row>
    <row r="58" spans="1:28" x14ac:dyDescent="0.35">
      <c r="A58" s="1">
        <v>1000</v>
      </c>
      <c r="B58" s="1">
        <v>8.0209799999999998</v>
      </c>
      <c r="C58" s="1">
        <v>218.809359</v>
      </c>
      <c r="D58" s="1">
        <v>115.92115800000001</v>
      </c>
      <c r="E58" s="1">
        <v>1.908765</v>
      </c>
      <c r="F58" s="1">
        <v>0.98398699999999995</v>
      </c>
      <c r="G58" s="1">
        <v>0.56821299999999997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</row>
    <row r="59" spans="1:28" x14ac:dyDescent="0.35">
      <c r="A59" s="1">
        <v>1020</v>
      </c>
      <c r="B59" s="1">
        <v>8.1610840000000007</v>
      </c>
      <c r="C59" s="1">
        <v>237.51832200000001</v>
      </c>
      <c r="D59" s="1">
        <v>115.92115800000001</v>
      </c>
      <c r="E59" s="1">
        <v>1.668328</v>
      </c>
      <c r="F59" s="1">
        <v>1.9651240000000001</v>
      </c>
      <c r="G59" s="1">
        <v>0.87539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</row>
    <row r="60" spans="1:28" x14ac:dyDescent="0.35">
      <c r="A60" s="1">
        <v>1040</v>
      </c>
      <c r="B60" s="1">
        <v>8.3073560000000004</v>
      </c>
      <c r="C60" s="1">
        <v>176.175073</v>
      </c>
      <c r="D60" s="1">
        <v>115.92115800000001</v>
      </c>
      <c r="E60" s="1">
        <v>3.2210559999999999</v>
      </c>
      <c r="F60" s="1">
        <v>0.26278800000000002</v>
      </c>
      <c r="G60" s="1">
        <v>0.66633299999999995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</row>
    <row r="61" spans="1:28" x14ac:dyDescent="0.35">
      <c r="A61" s="1">
        <v>1060</v>
      </c>
      <c r="B61" s="1">
        <v>8.4617789999999999</v>
      </c>
      <c r="C61" s="1">
        <v>226.47691399999999</v>
      </c>
      <c r="D61" s="1">
        <v>115.92115800000001</v>
      </c>
      <c r="E61" s="1">
        <v>3.5967859999999998</v>
      </c>
      <c r="F61" s="1">
        <v>2.7952870000000001</v>
      </c>
      <c r="G61" s="1">
        <v>-0.144982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</row>
    <row r="62" spans="1:28" x14ac:dyDescent="0.35">
      <c r="A62" s="1">
        <v>1080</v>
      </c>
      <c r="B62" s="1">
        <v>8.6457119999999996</v>
      </c>
      <c r="C62" s="1">
        <v>211.128714</v>
      </c>
      <c r="D62" s="1">
        <v>115.92115800000001</v>
      </c>
      <c r="E62" s="1">
        <v>1.205246</v>
      </c>
      <c r="F62" s="1">
        <v>1.232486</v>
      </c>
      <c r="G62" s="1">
        <v>-1.0229440000000001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</row>
    <row r="63" spans="1:28" x14ac:dyDescent="0.35">
      <c r="A63" s="1">
        <v>1100</v>
      </c>
      <c r="B63" s="1">
        <v>8.8047000000000004</v>
      </c>
      <c r="C63" s="1">
        <v>233.740061</v>
      </c>
      <c r="D63" s="1">
        <v>115.92115800000001</v>
      </c>
      <c r="E63" s="1">
        <v>-2.1789179999999999</v>
      </c>
      <c r="F63" s="1">
        <v>4.8799999999999999E-4</v>
      </c>
      <c r="G63" s="1">
        <v>-2.1267209999999999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</row>
    <row r="64" spans="1:28" x14ac:dyDescent="0.35">
      <c r="A64" s="1">
        <v>1120</v>
      </c>
      <c r="B64" s="1">
        <v>8.9546849999999996</v>
      </c>
      <c r="C64" s="1">
        <v>250.19999200000001</v>
      </c>
      <c r="D64" s="1">
        <v>115.92115800000001</v>
      </c>
      <c r="E64" s="1">
        <v>-2.029614</v>
      </c>
      <c r="F64" s="1">
        <v>1.3950149999999999</v>
      </c>
      <c r="G64" s="1">
        <v>-2.825091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</row>
    <row r="65" spans="1:28" x14ac:dyDescent="0.35">
      <c r="A65" s="1">
        <v>1140</v>
      </c>
      <c r="B65" s="1">
        <v>9.0983070000000001</v>
      </c>
      <c r="C65" s="1">
        <v>228.443333</v>
      </c>
      <c r="D65" s="1">
        <v>115.92115800000001</v>
      </c>
      <c r="E65" s="1">
        <v>-1.4453560000000001</v>
      </c>
      <c r="F65" s="1">
        <v>2.787693</v>
      </c>
      <c r="G65" s="1">
        <v>-1.08728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</row>
    <row r="66" spans="1:28" x14ac:dyDescent="0.35">
      <c r="A66" s="1">
        <v>1160</v>
      </c>
      <c r="B66" s="1">
        <v>9.2401610000000005</v>
      </c>
      <c r="C66" s="1">
        <v>254.80087499999999</v>
      </c>
      <c r="D66" s="1">
        <v>115.92115800000001</v>
      </c>
      <c r="E66" s="1">
        <v>-1.3436859999999999</v>
      </c>
      <c r="F66" s="1">
        <v>0.199598</v>
      </c>
      <c r="G66" s="1">
        <v>-1.124295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</row>
    <row r="67" spans="1:28" x14ac:dyDescent="0.35">
      <c r="A67" s="1">
        <v>1180</v>
      </c>
      <c r="B67" s="1">
        <v>9.3782060000000005</v>
      </c>
      <c r="C67" s="1">
        <v>255.34498300000001</v>
      </c>
      <c r="D67" s="1">
        <v>115.92115800000001</v>
      </c>
      <c r="E67" s="1">
        <v>-2.2788680000000001</v>
      </c>
      <c r="F67" s="1">
        <v>-1.594522</v>
      </c>
      <c r="G67" s="1">
        <v>2.018777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</row>
    <row r="68" spans="1:28" x14ac:dyDescent="0.35">
      <c r="A68" s="1">
        <v>1200</v>
      </c>
      <c r="B68" s="1">
        <v>9.5159400000000005</v>
      </c>
      <c r="C68" s="1">
        <v>249.52486400000001</v>
      </c>
      <c r="D68" s="1">
        <v>115.92115800000001</v>
      </c>
      <c r="E68" s="1">
        <v>2.0110000000000002E-3</v>
      </c>
      <c r="F68" s="1">
        <v>-2.6215799999999998</v>
      </c>
      <c r="G68" s="1">
        <v>2.3068360000000001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</row>
    <row r="69" spans="1:28" x14ac:dyDescent="0.35">
      <c r="A69" s="1">
        <v>1220</v>
      </c>
      <c r="B69" s="1">
        <v>9.6575589999999991</v>
      </c>
      <c r="C69" s="1">
        <v>251.35687200000001</v>
      </c>
      <c r="D69" s="1">
        <v>115.92115800000001</v>
      </c>
      <c r="E69" s="1">
        <v>0.29263800000000001</v>
      </c>
      <c r="F69" s="1">
        <v>-0.96362099999999995</v>
      </c>
      <c r="G69" s="1">
        <v>0.105349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</row>
    <row r="70" spans="1:28" x14ac:dyDescent="0.35">
      <c r="A70" s="1">
        <v>1240</v>
      </c>
      <c r="B70" s="1">
        <v>9.8011579999999991</v>
      </c>
      <c r="C70" s="1">
        <v>228.711107</v>
      </c>
      <c r="D70" s="1">
        <v>115.92115800000001</v>
      </c>
      <c r="E70" s="1">
        <v>2.5780349999999999</v>
      </c>
      <c r="F70" s="1">
        <v>0.35477399999999998</v>
      </c>
      <c r="G70" s="1">
        <v>-0.86146999999999996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</row>
    <row r="71" spans="1:28" x14ac:dyDescent="0.35">
      <c r="A71" s="1">
        <v>1260</v>
      </c>
      <c r="B71" s="1">
        <v>9.9402179999999998</v>
      </c>
      <c r="C71" s="1">
        <v>253.72607500000001</v>
      </c>
      <c r="D71" s="1">
        <v>115.92115800000001</v>
      </c>
      <c r="E71" s="1">
        <v>0.36471100000000001</v>
      </c>
      <c r="F71" s="1">
        <v>-1.874009</v>
      </c>
      <c r="G71" s="1">
        <v>0.17432400000000001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</row>
    <row r="72" spans="1:28" x14ac:dyDescent="0.35">
      <c r="A72" s="1">
        <v>1280</v>
      </c>
      <c r="B72" s="1">
        <v>10.082976</v>
      </c>
      <c r="C72" s="1">
        <v>238.36212800000001</v>
      </c>
      <c r="D72" s="1">
        <v>115.92115800000001</v>
      </c>
      <c r="E72" s="1">
        <v>0.337644</v>
      </c>
      <c r="F72" s="1">
        <v>-2.8435999999999999E-2</v>
      </c>
      <c r="G72" s="1">
        <v>-0.65135299999999996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</row>
    <row r="73" spans="1:28" x14ac:dyDescent="0.35">
      <c r="A73" s="1">
        <v>1300</v>
      </c>
      <c r="B73" s="1">
        <v>10.224392999999999</v>
      </c>
      <c r="C73" s="1">
        <v>235.51809299999999</v>
      </c>
      <c r="D73" s="1">
        <v>115.92115800000001</v>
      </c>
      <c r="E73" s="1">
        <v>-1.664463</v>
      </c>
      <c r="F73" s="1">
        <v>-1.8627579999999999</v>
      </c>
      <c r="G73" s="1">
        <v>-0.76516899999999999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</row>
    <row r="74" spans="1:28" x14ac:dyDescent="0.35">
      <c r="A74" s="1">
        <v>1320</v>
      </c>
      <c r="B74" s="1">
        <v>10.385168</v>
      </c>
      <c r="C74" s="1">
        <v>220.685991</v>
      </c>
      <c r="D74" s="1">
        <v>115.92115800000001</v>
      </c>
      <c r="E74" s="1">
        <v>-2.7251439999999998</v>
      </c>
      <c r="F74" s="1">
        <v>-2.500035</v>
      </c>
      <c r="G74" s="1">
        <v>-0.144506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</row>
    <row r="75" spans="1:28" x14ac:dyDescent="0.35">
      <c r="A75" s="1">
        <v>1340</v>
      </c>
      <c r="B75" s="1">
        <v>10.531765999999999</v>
      </c>
      <c r="C75" s="1">
        <v>262.86584199999999</v>
      </c>
      <c r="D75" s="1">
        <v>115.92115800000001</v>
      </c>
      <c r="E75" s="1">
        <v>-3.6856599999999999</v>
      </c>
      <c r="F75" s="1">
        <v>-1.9785740000000001</v>
      </c>
      <c r="G75" s="1">
        <v>-1.327726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</row>
    <row r="76" spans="1:28" x14ac:dyDescent="0.35">
      <c r="A76" s="1">
        <v>1360</v>
      </c>
      <c r="B76" s="1">
        <v>10.670064</v>
      </c>
      <c r="C76" s="1">
        <v>248.94069400000001</v>
      </c>
      <c r="D76" s="1">
        <v>115.92115800000001</v>
      </c>
      <c r="E76" s="1">
        <v>0.25566899999999998</v>
      </c>
      <c r="F76" s="1">
        <v>-3.0583149999999999</v>
      </c>
      <c r="G76" s="1">
        <v>-0.20960599999999999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</row>
    <row r="77" spans="1:28" x14ac:dyDescent="0.35">
      <c r="A77" s="1">
        <v>1380</v>
      </c>
      <c r="B77" s="1">
        <v>10.810758</v>
      </c>
      <c r="C77" s="1">
        <v>255.87223800000001</v>
      </c>
      <c r="D77" s="1">
        <v>115.92115800000001</v>
      </c>
      <c r="E77" s="1">
        <v>-0.63325299999999995</v>
      </c>
      <c r="F77" s="1">
        <v>-2.0241129999999998</v>
      </c>
      <c r="G77" s="1">
        <v>-0.15118799999999999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</row>
    <row r="78" spans="1:28" x14ac:dyDescent="0.35">
      <c r="A78" s="1">
        <v>1400</v>
      </c>
      <c r="B78" s="1">
        <v>10.947699999999999</v>
      </c>
      <c r="C78" s="1">
        <v>222.378142</v>
      </c>
      <c r="D78" s="1">
        <v>115.92115800000001</v>
      </c>
      <c r="E78" s="1">
        <v>1.0608059999999999</v>
      </c>
      <c r="F78" s="1">
        <v>3.6953E-2</v>
      </c>
      <c r="G78" s="1">
        <v>0.72143699999999999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</row>
    <row r="79" spans="1:28" x14ac:dyDescent="0.35">
      <c r="A79" s="1">
        <v>1420</v>
      </c>
      <c r="B79" s="1">
        <v>11.086912</v>
      </c>
      <c r="C79" s="1">
        <v>239.24255199999999</v>
      </c>
      <c r="D79" s="1">
        <v>115.92115800000001</v>
      </c>
      <c r="E79" s="1">
        <v>0.69869099999999995</v>
      </c>
      <c r="F79" s="1">
        <v>1.923613</v>
      </c>
      <c r="G79" s="1">
        <v>-1.5101990000000001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</row>
    <row r="80" spans="1:28" x14ac:dyDescent="0.35">
      <c r="A80" s="1">
        <v>1440</v>
      </c>
      <c r="B80" s="1">
        <v>11.235015000000001</v>
      </c>
      <c r="C80" s="1">
        <v>215.361839</v>
      </c>
      <c r="D80" s="1">
        <v>115.92115800000001</v>
      </c>
      <c r="E80" s="1">
        <v>0.823129</v>
      </c>
      <c r="F80" s="1">
        <v>5.8245769999999997</v>
      </c>
      <c r="G80" s="1">
        <v>0.43585699999999999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</row>
    <row r="81" spans="1:28" x14ac:dyDescent="0.35">
      <c r="A81" s="1">
        <v>1460</v>
      </c>
      <c r="B81" s="1">
        <v>11.384746</v>
      </c>
      <c r="C81" s="1">
        <v>154.15983399999999</v>
      </c>
      <c r="D81" s="1">
        <v>115.92115800000001</v>
      </c>
      <c r="E81" s="1">
        <v>1.374684</v>
      </c>
      <c r="F81" s="1">
        <v>5.4919440000000002</v>
      </c>
      <c r="G81" s="1">
        <v>1.5028999999999999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</row>
    <row r="82" spans="1:28" x14ac:dyDescent="0.35">
      <c r="A82" s="1">
        <v>1480</v>
      </c>
      <c r="B82" s="1">
        <v>11.555982999999999</v>
      </c>
      <c r="C82" s="1">
        <v>234.11439999999999</v>
      </c>
      <c r="D82" s="1">
        <v>115.92115800000001</v>
      </c>
      <c r="E82" s="1">
        <v>0.82926999999999995</v>
      </c>
      <c r="F82" s="1">
        <v>4.0072029999999996</v>
      </c>
      <c r="G82" s="1">
        <v>1.5139959999999999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</row>
    <row r="83" spans="1:28" x14ac:dyDescent="0.35">
      <c r="A83" s="1">
        <v>1500</v>
      </c>
      <c r="B83" s="1">
        <v>11.696058000000001</v>
      </c>
      <c r="C83" s="1">
        <v>231.433697</v>
      </c>
      <c r="D83" s="1">
        <v>115.92115800000001</v>
      </c>
      <c r="E83" s="1">
        <v>-2.8721179999999999</v>
      </c>
      <c r="F83" s="1">
        <v>1.5193779999999999</v>
      </c>
      <c r="G83" s="1">
        <v>2.7535509999999999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</row>
    <row r="84" spans="1:28" x14ac:dyDescent="0.35">
      <c r="A84" s="1">
        <v>1520</v>
      </c>
      <c r="B84" s="1">
        <v>11.838203</v>
      </c>
      <c r="C84" s="1">
        <v>242.02933899999999</v>
      </c>
      <c r="D84" s="1">
        <v>115.92115800000001</v>
      </c>
      <c r="E84" s="1">
        <v>-2.908013</v>
      </c>
      <c r="F84" s="1">
        <v>2.4444680000000001</v>
      </c>
      <c r="G84" s="1">
        <v>1.1974640000000001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</row>
    <row r="85" spans="1:28" x14ac:dyDescent="0.35">
      <c r="A85" s="1">
        <v>1540</v>
      </c>
      <c r="B85" s="1">
        <v>11.979735</v>
      </c>
      <c r="C85" s="1">
        <v>198.80618999999999</v>
      </c>
      <c r="D85" s="1">
        <v>115.92115800000001</v>
      </c>
      <c r="E85" s="1">
        <v>-1.378619</v>
      </c>
      <c r="F85" s="1">
        <v>2.2640790000000002</v>
      </c>
      <c r="G85" s="1">
        <v>1.0974109999999999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</row>
    <row r="86" spans="1:28" x14ac:dyDescent="0.35">
      <c r="A86" s="1">
        <v>1560</v>
      </c>
      <c r="B86" s="1">
        <v>12.11961</v>
      </c>
      <c r="C86" s="1">
        <v>253.73161500000001</v>
      </c>
      <c r="D86" s="1">
        <v>115.92115800000001</v>
      </c>
      <c r="E86" s="1">
        <v>-1.5040290000000001</v>
      </c>
      <c r="F86" s="1">
        <v>-0.156468</v>
      </c>
      <c r="G86" s="1">
        <v>-1.530966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</row>
    <row r="87" spans="1:28" x14ac:dyDescent="0.35">
      <c r="A87" s="1">
        <v>1580</v>
      </c>
      <c r="B87" s="1">
        <v>12.261065</v>
      </c>
      <c r="C87" s="1">
        <v>258.47514100000001</v>
      </c>
      <c r="D87" s="1">
        <v>115.92115800000001</v>
      </c>
      <c r="E87" s="1">
        <v>-0.37229400000000001</v>
      </c>
      <c r="F87" s="1">
        <v>-2.5066700000000002</v>
      </c>
      <c r="G87" s="1">
        <v>-2.524435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</row>
    <row r="88" spans="1:28" x14ac:dyDescent="0.35">
      <c r="A88" s="1">
        <v>1600</v>
      </c>
      <c r="B88" s="1">
        <v>12.410157999999999</v>
      </c>
      <c r="C88" s="1">
        <v>250.72525300000001</v>
      </c>
      <c r="D88" s="1">
        <v>115.92115800000001</v>
      </c>
      <c r="E88" s="1">
        <v>3.2761179999999999</v>
      </c>
      <c r="F88" s="1">
        <v>-1.2898639999999999</v>
      </c>
      <c r="G88" s="1">
        <v>-2.912264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</row>
    <row r="89" spans="1:28" x14ac:dyDescent="0.35">
      <c r="A89" s="1">
        <v>1620</v>
      </c>
      <c r="B89" s="1">
        <v>12.553483999999999</v>
      </c>
      <c r="C89" s="1">
        <v>242.93966399999999</v>
      </c>
      <c r="D89" s="1">
        <v>115.92115800000001</v>
      </c>
      <c r="E89" s="1">
        <v>2.4093779999999998</v>
      </c>
      <c r="F89" s="1">
        <v>-2.8381699999999999</v>
      </c>
      <c r="G89" s="1">
        <v>-2.0424220000000002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</row>
    <row r="90" spans="1:28" x14ac:dyDescent="0.35">
      <c r="A90" s="1">
        <v>1640</v>
      </c>
      <c r="B90" s="1">
        <v>12.693731</v>
      </c>
      <c r="C90" s="1">
        <v>255.399957</v>
      </c>
      <c r="D90" s="1">
        <v>115.92115800000001</v>
      </c>
      <c r="E90" s="1">
        <v>3.4207339999999999</v>
      </c>
      <c r="F90" s="1">
        <v>-3.1821790000000001</v>
      </c>
      <c r="G90" s="1">
        <v>-2.4676079999999998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</row>
    <row r="91" spans="1:28" x14ac:dyDescent="0.35">
      <c r="A91" s="1">
        <v>1660</v>
      </c>
      <c r="B91" s="1">
        <v>12.833299999999999</v>
      </c>
      <c r="C91" s="1">
        <v>246.478871</v>
      </c>
      <c r="D91" s="1">
        <v>115.92115800000001</v>
      </c>
      <c r="E91" s="1">
        <v>2.4804909999999998</v>
      </c>
      <c r="F91" s="1">
        <v>-2.0539160000000001</v>
      </c>
      <c r="G91" s="1">
        <v>-1.340768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</row>
    <row r="92" spans="1:28" x14ac:dyDescent="0.35">
      <c r="A92" s="1">
        <v>1680</v>
      </c>
      <c r="B92" s="1">
        <v>12.971665</v>
      </c>
      <c r="C92" s="1">
        <v>239.67826400000001</v>
      </c>
      <c r="D92" s="1">
        <v>115.92115800000001</v>
      </c>
      <c r="E92" s="1">
        <v>0.78835599999999995</v>
      </c>
      <c r="F92" s="1">
        <v>-4.2667320000000002</v>
      </c>
      <c r="G92" s="1">
        <v>0.72411000000000003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</row>
    <row r="93" spans="1:28" x14ac:dyDescent="0.35">
      <c r="A93" s="1">
        <v>1700</v>
      </c>
      <c r="B93" s="1">
        <v>13.122272000000001</v>
      </c>
      <c r="C93" s="1">
        <v>253.201301</v>
      </c>
      <c r="D93" s="1">
        <v>115.92115800000001</v>
      </c>
      <c r="E93" s="1">
        <v>-0.68488199999999999</v>
      </c>
      <c r="F93" s="1">
        <v>-3.0133079999999999</v>
      </c>
      <c r="G93" s="1">
        <v>1.670965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</row>
    <row r="94" spans="1:28" x14ac:dyDescent="0.35">
      <c r="A94" s="1">
        <v>1720</v>
      </c>
      <c r="B94" s="1">
        <v>13.260608</v>
      </c>
      <c r="C94" s="1">
        <v>240.96688599999999</v>
      </c>
      <c r="D94" s="1">
        <v>115.92115800000001</v>
      </c>
      <c r="E94" s="1">
        <v>-0.61474899999999999</v>
      </c>
      <c r="F94" s="1">
        <v>-1.931875</v>
      </c>
      <c r="G94" s="1">
        <v>3.5613649999999999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</row>
    <row r="95" spans="1:28" x14ac:dyDescent="0.35">
      <c r="A95" s="1">
        <v>1740</v>
      </c>
      <c r="B95" s="1">
        <v>13.404449</v>
      </c>
      <c r="C95" s="1">
        <v>234.48430500000001</v>
      </c>
      <c r="D95" s="1">
        <v>115.92115800000001</v>
      </c>
      <c r="E95" s="1">
        <v>-2.556403</v>
      </c>
      <c r="F95" s="1">
        <v>-0.59168600000000005</v>
      </c>
      <c r="G95" s="1">
        <v>4.2838859999999999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</row>
    <row r="96" spans="1:28" x14ac:dyDescent="0.35">
      <c r="A96" s="1">
        <v>1760</v>
      </c>
      <c r="B96" s="1">
        <v>13.546117000000001</v>
      </c>
      <c r="C96" s="1">
        <v>239.342972</v>
      </c>
      <c r="D96" s="1">
        <v>115.92115800000001</v>
      </c>
      <c r="E96" s="1">
        <v>-3.580848</v>
      </c>
      <c r="F96" s="1">
        <v>3.3309549999999999</v>
      </c>
      <c r="G96" s="1">
        <v>2.2638660000000002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</row>
    <row r="97" spans="1:28" x14ac:dyDescent="0.35">
      <c r="A97" s="1">
        <v>1780</v>
      </c>
      <c r="B97" s="1">
        <v>13.693025</v>
      </c>
      <c r="C97" s="1">
        <v>241.247624</v>
      </c>
      <c r="D97" s="1">
        <v>115.92115800000001</v>
      </c>
      <c r="E97" s="1">
        <v>-3.8257439999999998</v>
      </c>
      <c r="F97" s="1">
        <v>5.4425049999999997</v>
      </c>
      <c r="G97" s="1">
        <v>1.208939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</row>
    <row r="98" spans="1:28" x14ac:dyDescent="0.35">
      <c r="A98" s="1">
        <v>1800</v>
      </c>
      <c r="B98" s="1">
        <v>13.831664999999999</v>
      </c>
      <c r="C98" s="1">
        <v>222.767031</v>
      </c>
      <c r="D98" s="1">
        <v>115.92115800000001</v>
      </c>
      <c r="E98" s="1">
        <v>0.51618200000000003</v>
      </c>
      <c r="F98" s="1">
        <v>2.8934799999999998</v>
      </c>
      <c r="G98" s="1">
        <v>2.2725580000000001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</row>
    <row r="99" spans="1:28" x14ac:dyDescent="0.35">
      <c r="A99" s="1">
        <v>1820</v>
      </c>
      <c r="B99" s="1">
        <v>13.970673</v>
      </c>
      <c r="C99" s="1">
        <v>229.552301</v>
      </c>
      <c r="D99" s="1">
        <v>115.92115800000001</v>
      </c>
      <c r="E99" s="1">
        <v>3.4640529999999998</v>
      </c>
      <c r="F99" s="1">
        <v>3.0349620000000002</v>
      </c>
      <c r="G99" s="1">
        <v>0.63636800000000004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</row>
    <row r="100" spans="1:28" x14ac:dyDescent="0.35">
      <c r="A100" s="1">
        <v>1840</v>
      </c>
      <c r="B100" s="1">
        <v>14.110644000000001</v>
      </c>
      <c r="C100" s="1">
        <v>235.082955</v>
      </c>
      <c r="D100" s="1">
        <v>115.92115800000001</v>
      </c>
      <c r="E100" s="1">
        <v>4.3429250000000001</v>
      </c>
      <c r="F100" s="1">
        <v>0.46263700000000002</v>
      </c>
      <c r="G100" s="1">
        <v>-0.46715600000000002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</row>
    <row r="101" spans="1:28" x14ac:dyDescent="0.35">
      <c r="A101" s="1">
        <v>1860</v>
      </c>
      <c r="B101" s="1">
        <v>14.250064</v>
      </c>
      <c r="C101" s="1">
        <v>233.704386</v>
      </c>
      <c r="D101" s="1">
        <v>115.92115800000001</v>
      </c>
      <c r="E101" s="1">
        <v>1.635583</v>
      </c>
      <c r="F101" s="1">
        <v>-0.143987</v>
      </c>
      <c r="G101" s="1">
        <v>-0.84775299999999998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</row>
    <row r="102" spans="1:28" x14ac:dyDescent="0.35">
      <c r="A102" s="1">
        <v>1880</v>
      </c>
      <c r="B102" s="1">
        <v>14.388964</v>
      </c>
      <c r="C102" s="1">
        <v>238.80659700000001</v>
      </c>
      <c r="D102" s="1">
        <v>115.92115800000001</v>
      </c>
      <c r="E102" s="1">
        <v>-0.23963699999999999</v>
      </c>
      <c r="F102" s="1">
        <v>0.52183599999999997</v>
      </c>
      <c r="G102" s="1">
        <v>-1.0096959999999999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</row>
    <row r="103" spans="1:28" x14ac:dyDescent="0.35">
      <c r="A103" s="1">
        <v>1900</v>
      </c>
      <c r="B103" s="1">
        <v>14.533874000000001</v>
      </c>
      <c r="C103" s="1">
        <v>247.58803399999999</v>
      </c>
      <c r="D103" s="1">
        <v>115.92115800000001</v>
      </c>
      <c r="E103" s="1">
        <v>-2.2145440000000001</v>
      </c>
      <c r="F103" s="1">
        <v>0.460204</v>
      </c>
      <c r="G103" s="1">
        <v>-2.523876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</row>
    <row r="104" spans="1:28" x14ac:dyDescent="0.35">
      <c r="A104" s="1">
        <v>1920</v>
      </c>
      <c r="B104" s="1">
        <v>14.672732999999999</v>
      </c>
      <c r="C104" s="1">
        <v>255.258948</v>
      </c>
      <c r="D104" s="1">
        <v>115.92115800000001</v>
      </c>
      <c r="E104" s="1">
        <v>-4.5000070000000001</v>
      </c>
      <c r="F104" s="1">
        <v>0.31101299999999998</v>
      </c>
      <c r="G104" s="1">
        <v>-3.0207449999999998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</row>
    <row r="105" spans="1:28" x14ac:dyDescent="0.35">
      <c r="A105" s="1">
        <v>1940</v>
      </c>
      <c r="B105" s="1">
        <v>14.813181</v>
      </c>
      <c r="C105" s="1">
        <v>243.269507</v>
      </c>
      <c r="D105" s="1">
        <v>115.92115800000001</v>
      </c>
      <c r="E105" s="1">
        <v>-1.7769760000000001</v>
      </c>
      <c r="F105" s="1">
        <v>-2.1802459999999999</v>
      </c>
      <c r="G105" s="1">
        <v>-0.88378900000000005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</row>
    <row r="106" spans="1:28" x14ac:dyDescent="0.35">
      <c r="A106" s="1">
        <v>1960</v>
      </c>
      <c r="B106" s="1">
        <v>14.961283</v>
      </c>
      <c r="C106" s="1">
        <v>253.017876</v>
      </c>
      <c r="D106" s="1">
        <v>115.92115800000001</v>
      </c>
      <c r="E106" s="1">
        <v>-0.96434200000000003</v>
      </c>
      <c r="F106" s="1">
        <v>-1.329137</v>
      </c>
      <c r="G106" s="1">
        <v>-1.4737720000000001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</row>
    <row r="107" spans="1:28" x14ac:dyDescent="0.35">
      <c r="A107" s="1">
        <v>1980</v>
      </c>
      <c r="B107" s="1">
        <v>15.127681000000001</v>
      </c>
      <c r="C107" s="1">
        <v>200.37020100000001</v>
      </c>
      <c r="D107" s="1">
        <v>115.92115800000001</v>
      </c>
      <c r="E107" s="1">
        <v>-0.77691100000000002</v>
      </c>
      <c r="F107" s="1">
        <v>-1.829707</v>
      </c>
      <c r="G107" s="1">
        <v>-1.2367220000000001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</row>
    <row r="108" spans="1:28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</row>
    <row r="109" spans="1:28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</row>
    <row r="110" spans="1:28" x14ac:dyDescent="0.35">
      <c r="A110" t="s">
        <v>42</v>
      </c>
      <c r="B110" s="1">
        <v>0</v>
      </c>
      <c r="C110" s="1">
        <v>5</v>
      </c>
      <c r="D110" s="1">
        <v>21</v>
      </c>
      <c r="E110" s="1">
        <v>23</v>
      </c>
      <c r="F110" s="1">
        <v>47</v>
      </c>
      <c r="G110" s="1">
        <v>50</v>
      </c>
      <c r="H110" s="1">
        <v>63</v>
      </c>
      <c r="I110" s="1">
        <v>77</v>
      </c>
      <c r="J110" s="1">
        <v>80</v>
      </c>
      <c r="K110" s="1">
        <v>99</v>
      </c>
      <c r="L110" s="1">
        <v>89</v>
      </c>
      <c r="M110" s="1">
        <v>78</v>
      </c>
      <c r="N110" s="1">
        <v>64</v>
      </c>
      <c r="O110" s="1">
        <v>76</v>
      </c>
      <c r="P110" s="1">
        <v>56</v>
      </c>
      <c r="Q110" s="1">
        <v>59</v>
      </c>
      <c r="R110" s="1">
        <v>36</v>
      </c>
      <c r="S110" s="1">
        <v>21</v>
      </c>
      <c r="T110" s="1">
        <v>19</v>
      </c>
      <c r="U110" s="1">
        <v>14</v>
      </c>
      <c r="V110" s="1">
        <v>3</v>
      </c>
      <c r="W110" s="1">
        <v>10</v>
      </c>
      <c r="X110" s="1">
        <v>5</v>
      </c>
      <c r="Y110" s="1">
        <v>1</v>
      </c>
      <c r="Z110" s="1">
        <v>0</v>
      </c>
      <c r="AA110" s="1">
        <v>2</v>
      </c>
      <c r="AB110" s="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3A57-E697-48DA-B031-7ECC049DE980}">
  <dimension ref="A1:AF110"/>
  <sheetViews>
    <sheetView workbookViewId="0">
      <selection activeCell="C5" sqref="C5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32" width="11.542968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  <c r="AE1" t="s">
        <v>44</v>
      </c>
      <c r="AF1" t="s">
        <v>45</v>
      </c>
    </row>
    <row r="2" spans="1:32" x14ac:dyDescent="0.35">
      <c r="A2" t="s">
        <v>29</v>
      </c>
      <c r="B2" s="1">
        <v>5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</row>
    <row r="3" spans="1:32" x14ac:dyDescent="0.35">
      <c r="A3" t="s">
        <v>31</v>
      </c>
      <c r="B3" s="1">
        <v>2000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</row>
    <row r="4" spans="1:32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</row>
    <row r="5" spans="1:32" x14ac:dyDescent="0.35">
      <c r="A5" t="s">
        <v>33</v>
      </c>
      <c r="B5" s="1">
        <v>8000000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</row>
    <row r="6" spans="1:32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</row>
    <row r="7" spans="1:32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</row>
    <row r="8" spans="1:32" x14ac:dyDescent="0.35">
      <c r="A8" s="1">
        <v>0</v>
      </c>
      <c r="B8" s="1">
        <v>1.541E-2</v>
      </c>
      <c r="C8" s="1">
        <v>0</v>
      </c>
      <c r="D8" s="1">
        <v>115.282335</v>
      </c>
      <c r="E8" s="1">
        <v>99.744226999999995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</row>
    <row r="9" spans="1:32" x14ac:dyDescent="0.35">
      <c r="A9" s="1">
        <v>20</v>
      </c>
      <c r="B9" s="1">
        <v>1.10642</v>
      </c>
      <c r="C9" s="1">
        <v>25.105248</v>
      </c>
      <c r="D9" s="1">
        <v>115.282335</v>
      </c>
      <c r="E9" s="1">
        <v>-0.69511999999999996</v>
      </c>
      <c r="F9" s="1">
        <v>-6.2129999999999998E-3</v>
      </c>
      <c r="G9" s="1">
        <v>-0.19284200000000001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</row>
    <row r="10" spans="1:32" x14ac:dyDescent="0.35">
      <c r="A10" s="1">
        <v>40</v>
      </c>
      <c r="B10" s="1">
        <v>1.7933479999999999</v>
      </c>
      <c r="C10" s="1">
        <v>40.720143</v>
      </c>
      <c r="D10" s="1">
        <v>115.282335</v>
      </c>
      <c r="E10" s="1">
        <v>-44.160696000000002</v>
      </c>
      <c r="F10" s="1">
        <v>0.56903300000000001</v>
      </c>
      <c r="G10" s="1">
        <v>-0.34481000000000001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</row>
    <row r="11" spans="1:32" x14ac:dyDescent="0.35">
      <c r="A11" s="1">
        <v>60</v>
      </c>
      <c r="B11" s="1">
        <v>2.3585250000000002</v>
      </c>
      <c r="C11" s="1">
        <v>32.721941000000001</v>
      </c>
      <c r="D11" s="1">
        <v>115.282335</v>
      </c>
      <c r="E11" s="1">
        <v>-7.6131130000000002</v>
      </c>
      <c r="F11" s="1">
        <v>0.98548100000000005</v>
      </c>
      <c r="G11" s="1">
        <v>-0.92377699999999996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</row>
    <row r="12" spans="1:32" x14ac:dyDescent="0.35">
      <c r="A12" s="1">
        <v>80</v>
      </c>
      <c r="B12" s="1">
        <v>2.9128660000000002</v>
      </c>
      <c r="C12" s="1">
        <v>26.274301999999999</v>
      </c>
      <c r="D12" s="1">
        <v>115.282335</v>
      </c>
      <c r="E12" s="1">
        <v>14.823896</v>
      </c>
      <c r="F12" s="1">
        <v>0.77685499999999996</v>
      </c>
      <c r="G12" s="1">
        <v>-1.501708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</row>
    <row r="13" spans="1:32" x14ac:dyDescent="0.35">
      <c r="A13" s="1">
        <v>100</v>
      </c>
      <c r="B13" s="1">
        <v>3.4939819999999999</v>
      </c>
      <c r="C13" s="1">
        <v>32.350413000000003</v>
      </c>
      <c r="D13" s="1">
        <v>115.282335</v>
      </c>
      <c r="E13" s="1">
        <v>-4.1851659999999997</v>
      </c>
      <c r="F13" s="1">
        <v>-0.12690100000000001</v>
      </c>
      <c r="G13" s="1">
        <v>-2.2404350000000002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</row>
    <row r="14" spans="1:32" x14ac:dyDescent="0.35">
      <c r="A14" s="1">
        <v>120</v>
      </c>
      <c r="B14" s="1">
        <v>4.0406440000000003</v>
      </c>
      <c r="C14" s="1">
        <v>34.897162000000002</v>
      </c>
      <c r="D14" s="1">
        <v>115.282335</v>
      </c>
      <c r="E14" s="1">
        <v>-13.608395</v>
      </c>
      <c r="F14" s="1">
        <v>-1.0654859999999999</v>
      </c>
      <c r="G14" s="1">
        <v>-1.6470590000000001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</row>
    <row r="15" spans="1:32" x14ac:dyDescent="0.35">
      <c r="A15" s="1">
        <v>140</v>
      </c>
      <c r="B15" s="1">
        <v>4.5971450000000003</v>
      </c>
      <c r="C15" s="1">
        <v>30.790977000000002</v>
      </c>
      <c r="D15" s="1">
        <v>115.282335</v>
      </c>
      <c r="E15" s="1">
        <v>-1.6222840000000001</v>
      </c>
      <c r="F15" s="1">
        <v>0.52379900000000001</v>
      </c>
      <c r="G15" s="1">
        <v>-0.250222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</row>
    <row r="16" spans="1:32" x14ac:dyDescent="0.35">
      <c r="A16" s="1">
        <v>160</v>
      </c>
      <c r="B16" s="1">
        <v>5.1680000000000001</v>
      </c>
      <c r="C16" s="1">
        <v>27.774004000000001</v>
      </c>
      <c r="D16" s="1">
        <v>115.282335</v>
      </c>
      <c r="E16" s="1">
        <v>5.8658570000000001</v>
      </c>
      <c r="F16" s="1">
        <v>1.033982</v>
      </c>
      <c r="G16" s="1">
        <v>1.2175039999999999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</row>
    <row r="17" spans="1:32" x14ac:dyDescent="0.35">
      <c r="A17" s="1">
        <v>180</v>
      </c>
      <c r="B17" s="1">
        <v>5.7589940000000004</v>
      </c>
      <c r="C17" s="1">
        <v>28.925909999999998</v>
      </c>
      <c r="D17" s="1">
        <v>115.282335</v>
      </c>
      <c r="E17" s="1">
        <v>-2.283E-2</v>
      </c>
      <c r="F17" s="1">
        <v>0.66056700000000002</v>
      </c>
      <c r="G17" s="1">
        <v>3.0275750000000001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</row>
    <row r="18" spans="1:32" x14ac:dyDescent="0.35">
      <c r="A18" s="1">
        <v>200</v>
      </c>
      <c r="B18" s="1">
        <v>6.3295560000000002</v>
      </c>
      <c r="C18" s="1">
        <v>30.219681999999999</v>
      </c>
      <c r="D18" s="1">
        <v>115.282335</v>
      </c>
      <c r="E18" s="1">
        <v>-2.088244</v>
      </c>
      <c r="F18" s="1">
        <v>0.38957599999999998</v>
      </c>
      <c r="G18" s="1">
        <v>0.12452000000000001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  <c r="AE18" t="s">
        <v>30</v>
      </c>
      <c r="AF18" t="s">
        <v>30</v>
      </c>
    </row>
    <row r="19" spans="1:32" x14ac:dyDescent="0.35">
      <c r="A19" s="1">
        <v>220</v>
      </c>
      <c r="B19" s="1">
        <v>6.9092190000000002</v>
      </c>
      <c r="C19" s="1">
        <v>30.452188</v>
      </c>
      <c r="D19" s="1">
        <v>115.282335</v>
      </c>
      <c r="E19" s="1">
        <v>0.63985599999999998</v>
      </c>
      <c r="F19" s="1">
        <v>-9.6910999999999997E-2</v>
      </c>
      <c r="G19" s="1">
        <v>-1.9899990000000001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t="s">
        <v>30</v>
      </c>
    </row>
    <row r="20" spans="1:32" x14ac:dyDescent="0.35">
      <c r="A20" s="1">
        <v>240</v>
      </c>
      <c r="B20" s="1">
        <v>7.5120899999999997</v>
      </c>
      <c r="C20" s="1">
        <v>29.013731</v>
      </c>
      <c r="D20" s="1">
        <v>115.282335</v>
      </c>
      <c r="E20" s="1">
        <v>-2.0947490000000002</v>
      </c>
      <c r="F20" s="1">
        <v>0.46412100000000001</v>
      </c>
      <c r="G20" s="1">
        <v>-2.6766230000000002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  <c r="AE20" t="s">
        <v>30</v>
      </c>
      <c r="AF20" t="s">
        <v>30</v>
      </c>
    </row>
    <row r="21" spans="1:32" x14ac:dyDescent="0.35">
      <c r="A21" s="1">
        <v>260</v>
      </c>
      <c r="B21" s="1">
        <v>8.0854809999999997</v>
      </c>
      <c r="C21" s="1">
        <v>26.186789999999998</v>
      </c>
      <c r="D21" s="1">
        <v>115.282335</v>
      </c>
      <c r="E21" s="1">
        <v>-1.291768</v>
      </c>
      <c r="F21" s="1">
        <v>1.04691</v>
      </c>
      <c r="G21" s="1">
        <v>-1.757279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t="s">
        <v>30</v>
      </c>
    </row>
    <row r="22" spans="1:32" x14ac:dyDescent="0.35">
      <c r="A22" s="1">
        <v>280</v>
      </c>
      <c r="B22" s="1">
        <v>8.6699269999999995</v>
      </c>
      <c r="C22" s="1">
        <v>30.188431999999999</v>
      </c>
      <c r="D22" s="1">
        <v>115.282335</v>
      </c>
      <c r="E22" s="1">
        <v>0.40986</v>
      </c>
      <c r="F22" s="1">
        <v>-3.7718000000000002E-2</v>
      </c>
      <c r="G22" s="1">
        <v>0.45232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  <c r="AE22" t="s">
        <v>30</v>
      </c>
      <c r="AF22" t="s">
        <v>30</v>
      </c>
    </row>
    <row r="23" spans="1:32" x14ac:dyDescent="0.35">
      <c r="A23" s="1">
        <v>300</v>
      </c>
      <c r="B23" s="1">
        <v>9.225835</v>
      </c>
      <c r="C23" s="1">
        <v>30.353283999999999</v>
      </c>
      <c r="D23" s="1">
        <v>115.282335</v>
      </c>
      <c r="E23" s="1">
        <v>1.5360579999999999</v>
      </c>
      <c r="F23" s="1">
        <v>-0.71685500000000002</v>
      </c>
      <c r="G23" s="1">
        <v>-0.20127500000000001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</row>
    <row r="24" spans="1:32" x14ac:dyDescent="0.35">
      <c r="A24" s="1">
        <v>320</v>
      </c>
      <c r="B24" s="1">
        <v>9.7864179999999994</v>
      </c>
      <c r="C24" s="1">
        <v>29.287956000000001</v>
      </c>
      <c r="D24" s="1">
        <v>115.282335</v>
      </c>
      <c r="E24" s="1">
        <v>-0.63796600000000003</v>
      </c>
      <c r="F24" s="1">
        <v>0.61934599999999995</v>
      </c>
      <c r="G24" s="1">
        <v>1.6069560000000001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s">
        <v>30</v>
      </c>
      <c r="AF24" t="s">
        <v>30</v>
      </c>
    </row>
    <row r="25" spans="1:32" x14ac:dyDescent="0.35">
      <c r="A25" s="1">
        <v>340</v>
      </c>
      <c r="B25" s="1">
        <v>10.351527000000001</v>
      </c>
      <c r="C25" s="1">
        <v>26.885317000000001</v>
      </c>
      <c r="D25" s="1">
        <v>115.282335</v>
      </c>
      <c r="E25" s="1">
        <v>0.91591100000000003</v>
      </c>
      <c r="F25" s="1">
        <v>1.1196200000000001</v>
      </c>
      <c r="G25" s="1">
        <v>1.2683739999999999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t="s">
        <v>30</v>
      </c>
    </row>
    <row r="26" spans="1:32" x14ac:dyDescent="0.35">
      <c r="A26" s="1">
        <v>360</v>
      </c>
      <c r="B26" s="1">
        <v>10.921792</v>
      </c>
      <c r="C26" s="1">
        <v>29.821542000000001</v>
      </c>
      <c r="D26" s="1">
        <v>115.282335</v>
      </c>
      <c r="E26" s="1">
        <v>-1.1386350000000001</v>
      </c>
      <c r="F26" s="1">
        <v>1.64106</v>
      </c>
      <c r="G26" s="1">
        <v>0.87580599999999997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s">
        <v>30</v>
      </c>
      <c r="AF26" t="s">
        <v>30</v>
      </c>
    </row>
    <row r="27" spans="1:32" x14ac:dyDescent="0.35">
      <c r="A27" s="1">
        <v>380</v>
      </c>
      <c r="B27" s="1">
        <v>11.510872000000001</v>
      </c>
      <c r="C27" s="1">
        <v>27.187961999999999</v>
      </c>
      <c r="D27" s="1">
        <v>115.282335</v>
      </c>
      <c r="E27" s="1">
        <v>-0.28151399999999999</v>
      </c>
      <c r="F27" s="1">
        <v>1.479862</v>
      </c>
      <c r="G27" s="1">
        <v>-1.017199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  <c r="AF27" t="s">
        <v>30</v>
      </c>
    </row>
    <row r="28" spans="1:32" x14ac:dyDescent="0.35">
      <c r="A28" s="1">
        <v>400</v>
      </c>
      <c r="B28" s="1">
        <v>12.082981</v>
      </c>
      <c r="C28" s="1">
        <v>27.618037000000001</v>
      </c>
      <c r="D28" s="1">
        <v>115.282335</v>
      </c>
      <c r="E28" s="1">
        <v>-0.37107499999999999</v>
      </c>
      <c r="F28" s="1">
        <v>0.30521100000000001</v>
      </c>
      <c r="G28" s="1">
        <v>0.22442000000000001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  <c r="AE28" t="s">
        <v>30</v>
      </c>
      <c r="AF28" t="s">
        <v>30</v>
      </c>
    </row>
    <row r="29" spans="1:32" x14ac:dyDescent="0.35">
      <c r="A29" s="1">
        <v>420</v>
      </c>
      <c r="B29" s="1">
        <v>12.638616000000001</v>
      </c>
      <c r="C29" s="1">
        <v>28.420914</v>
      </c>
      <c r="D29" s="1">
        <v>115.282335</v>
      </c>
      <c r="E29" s="1">
        <v>1.73926</v>
      </c>
      <c r="F29" s="1">
        <v>4.4863E-2</v>
      </c>
      <c r="G29" s="1">
        <v>-0.33249099999999998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</row>
    <row r="30" spans="1:32" x14ac:dyDescent="0.35">
      <c r="A30" s="1">
        <v>440</v>
      </c>
      <c r="B30" s="1">
        <v>13.227869999999999</v>
      </c>
      <c r="C30" s="1">
        <v>29.813193999999999</v>
      </c>
      <c r="D30" s="1">
        <v>115.282335</v>
      </c>
      <c r="E30" s="1">
        <v>1.302527</v>
      </c>
      <c r="F30" s="1">
        <v>-0.24756400000000001</v>
      </c>
      <c r="G30" s="1">
        <v>-1.2823640000000001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  <c r="AE30" t="s">
        <v>30</v>
      </c>
      <c r="AF30" t="s">
        <v>30</v>
      </c>
    </row>
    <row r="31" spans="1:32" x14ac:dyDescent="0.35">
      <c r="A31" s="1">
        <v>460</v>
      </c>
      <c r="B31" s="1">
        <v>13.794484000000001</v>
      </c>
      <c r="C31" s="1">
        <v>28.619176</v>
      </c>
      <c r="D31" s="1">
        <v>115.282335</v>
      </c>
      <c r="E31" s="1">
        <v>-0.43752600000000003</v>
      </c>
      <c r="F31" s="1">
        <v>-0.57514299999999996</v>
      </c>
      <c r="G31" s="1">
        <v>-0.64118699999999995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t="s">
        <v>30</v>
      </c>
    </row>
    <row r="32" spans="1:32" x14ac:dyDescent="0.35">
      <c r="A32" s="1">
        <v>480</v>
      </c>
      <c r="B32" s="1">
        <v>14.381081</v>
      </c>
      <c r="C32" s="1">
        <v>29.948578999999999</v>
      </c>
      <c r="D32" s="1">
        <v>115.282335</v>
      </c>
      <c r="E32" s="1">
        <v>-0.101275</v>
      </c>
      <c r="F32" s="1">
        <v>0.168182</v>
      </c>
      <c r="G32" s="1">
        <v>1.041795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s">
        <v>30</v>
      </c>
      <c r="AF32" t="s">
        <v>30</v>
      </c>
    </row>
    <row r="33" spans="1:32" x14ac:dyDescent="0.35">
      <c r="A33" s="1">
        <v>500</v>
      </c>
      <c r="B33" s="1">
        <v>14.943706000000001</v>
      </c>
      <c r="C33" s="1">
        <v>31.067377</v>
      </c>
      <c r="D33" s="1">
        <v>115.282335</v>
      </c>
      <c r="E33" s="1">
        <v>-1.32718</v>
      </c>
      <c r="F33" s="1">
        <v>-1.6707350000000001</v>
      </c>
      <c r="G33" s="1">
        <v>0.74582999999999999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t="s">
        <v>30</v>
      </c>
    </row>
    <row r="34" spans="1:32" x14ac:dyDescent="0.35">
      <c r="A34" s="1">
        <v>520</v>
      </c>
      <c r="B34" s="1">
        <v>15.562616999999999</v>
      </c>
      <c r="C34" s="1">
        <v>22.327648</v>
      </c>
      <c r="D34" s="1">
        <v>115.282335</v>
      </c>
      <c r="E34" s="1">
        <v>1.964067</v>
      </c>
      <c r="F34" s="1">
        <v>-1.9341660000000001</v>
      </c>
      <c r="G34" s="1">
        <v>1.8747529999999999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  <c r="AE34" t="s">
        <v>30</v>
      </c>
      <c r="AF34" t="s">
        <v>30</v>
      </c>
    </row>
    <row r="35" spans="1:32" x14ac:dyDescent="0.35">
      <c r="A35" s="1">
        <v>540</v>
      </c>
      <c r="B35" s="1">
        <v>16.165610000000001</v>
      </c>
      <c r="C35" s="1">
        <v>29.647103000000001</v>
      </c>
      <c r="D35" s="1">
        <v>115.282335</v>
      </c>
      <c r="E35" s="1">
        <v>0.40911799999999998</v>
      </c>
      <c r="F35" s="1">
        <v>-2.4672860000000001</v>
      </c>
      <c r="G35" s="1">
        <v>-1.3691679999999999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t="s">
        <v>30</v>
      </c>
    </row>
    <row r="36" spans="1:32" x14ac:dyDescent="0.35">
      <c r="A36" s="1">
        <v>560</v>
      </c>
      <c r="B36" s="1">
        <v>16.762097000000001</v>
      </c>
      <c r="C36" s="1">
        <v>27.813974000000002</v>
      </c>
      <c r="D36" s="1">
        <v>115.282335</v>
      </c>
      <c r="E36" s="1">
        <v>-3.043358</v>
      </c>
      <c r="F36" s="1">
        <v>-1.7731239999999999</v>
      </c>
      <c r="G36" s="1">
        <v>-0.56810000000000005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  <c r="AE36" t="s">
        <v>30</v>
      </c>
      <c r="AF36" t="s">
        <v>30</v>
      </c>
    </row>
    <row r="37" spans="1:32" x14ac:dyDescent="0.35">
      <c r="A37" s="1">
        <v>580</v>
      </c>
      <c r="B37" s="1">
        <v>17.409002000000001</v>
      </c>
      <c r="C37" s="1">
        <v>29.164052999999999</v>
      </c>
      <c r="D37" s="1">
        <v>115.282335</v>
      </c>
      <c r="E37" s="1">
        <v>0.50406799999999996</v>
      </c>
      <c r="F37" s="1">
        <v>1.1839569999999999</v>
      </c>
      <c r="G37" s="1">
        <v>1.57545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  <c r="AF37" t="s">
        <v>30</v>
      </c>
    </row>
    <row r="38" spans="1:32" x14ac:dyDescent="0.35">
      <c r="A38" s="1">
        <v>600</v>
      </c>
      <c r="B38" s="1">
        <v>17.966365</v>
      </c>
      <c r="C38" s="1">
        <v>29.439271999999999</v>
      </c>
      <c r="D38" s="1">
        <v>115.282335</v>
      </c>
      <c r="E38" s="1">
        <v>0.91503100000000004</v>
      </c>
      <c r="F38" s="1">
        <v>2.3042250000000002</v>
      </c>
      <c r="G38" s="1">
        <v>0.17200199999999999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  <c r="AE38" t="s">
        <v>30</v>
      </c>
      <c r="AF38" t="s">
        <v>30</v>
      </c>
    </row>
    <row r="39" spans="1:32" x14ac:dyDescent="0.35">
      <c r="A39" s="1">
        <v>620</v>
      </c>
      <c r="B39" s="1">
        <v>18.567094999999998</v>
      </c>
      <c r="C39" s="1">
        <v>28.883610999999998</v>
      </c>
      <c r="D39" s="1">
        <v>115.282335</v>
      </c>
      <c r="E39" s="1">
        <v>-0.67705400000000004</v>
      </c>
      <c r="F39" s="1">
        <v>2.7262870000000001</v>
      </c>
      <c r="G39" s="1">
        <v>-6.4823000000000006E-2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  <c r="AF39" t="s">
        <v>30</v>
      </c>
    </row>
    <row r="40" spans="1:32" x14ac:dyDescent="0.35">
      <c r="A40" s="1">
        <v>640</v>
      </c>
      <c r="B40" s="1">
        <v>19.255496999999998</v>
      </c>
      <c r="C40" s="1">
        <v>25.756658999999999</v>
      </c>
      <c r="D40" s="1">
        <v>115.282335</v>
      </c>
      <c r="E40" s="1">
        <v>-1.364689</v>
      </c>
      <c r="F40" s="1">
        <v>2.7358790000000002</v>
      </c>
      <c r="G40" s="1">
        <v>-0.70623599999999997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  <c r="AE40" t="s">
        <v>30</v>
      </c>
      <c r="AF40" t="s">
        <v>30</v>
      </c>
    </row>
    <row r="41" spans="1:32" x14ac:dyDescent="0.35">
      <c r="A41" s="1">
        <v>660</v>
      </c>
      <c r="B41" s="1">
        <v>19.901014</v>
      </c>
      <c r="C41" s="1">
        <v>16.978714</v>
      </c>
      <c r="D41" s="1">
        <v>115.282335</v>
      </c>
      <c r="E41" s="1">
        <v>0.49303599999999997</v>
      </c>
      <c r="F41" s="1">
        <v>0.66128299999999995</v>
      </c>
      <c r="G41" s="1">
        <v>1.1559969999999999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</row>
    <row r="42" spans="1:32" x14ac:dyDescent="0.35">
      <c r="A42" s="1">
        <v>680</v>
      </c>
      <c r="B42" s="1">
        <v>20.668621999999999</v>
      </c>
      <c r="C42" s="1">
        <v>25.062985999999999</v>
      </c>
      <c r="D42" s="1">
        <v>115.282335</v>
      </c>
      <c r="E42" s="1">
        <v>1.865777</v>
      </c>
      <c r="F42" s="1">
        <v>-1.838986</v>
      </c>
      <c r="G42" s="1">
        <v>2.2096900000000002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  <c r="AE42" t="s">
        <v>30</v>
      </c>
      <c r="AF42" t="s">
        <v>30</v>
      </c>
    </row>
    <row r="43" spans="1:32" x14ac:dyDescent="0.35">
      <c r="A43" s="1">
        <v>700</v>
      </c>
      <c r="B43" s="1">
        <v>21.377627</v>
      </c>
      <c r="C43" s="1">
        <v>25.545113000000001</v>
      </c>
      <c r="D43" s="1">
        <v>115.282335</v>
      </c>
      <c r="E43" s="1">
        <v>1.0536030000000001</v>
      </c>
      <c r="F43" s="1">
        <v>-1.4329829999999999</v>
      </c>
      <c r="G43" s="1">
        <v>0.31895299999999999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  <c r="AF43" t="s">
        <v>30</v>
      </c>
    </row>
    <row r="44" spans="1:32" x14ac:dyDescent="0.35">
      <c r="A44" s="1">
        <v>720</v>
      </c>
      <c r="B44" s="1">
        <v>22.110016999999999</v>
      </c>
      <c r="C44" s="1">
        <v>22.947825999999999</v>
      </c>
      <c r="D44" s="1">
        <v>115.282335</v>
      </c>
      <c r="E44" s="1">
        <v>-0.42447400000000002</v>
      </c>
      <c r="F44" s="1">
        <v>1.1526000000000001</v>
      </c>
      <c r="G44" s="1">
        <v>1.357499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  <c r="AE44" t="s">
        <v>30</v>
      </c>
      <c r="AF44" t="s">
        <v>30</v>
      </c>
    </row>
    <row r="45" spans="1:32" x14ac:dyDescent="0.35">
      <c r="A45" s="1">
        <v>740</v>
      </c>
      <c r="B45" s="1">
        <v>22.795506</v>
      </c>
      <c r="C45" s="1">
        <v>26.287565000000001</v>
      </c>
      <c r="D45" s="1">
        <v>115.282335</v>
      </c>
      <c r="E45" s="1">
        <v>-2.2330670000000001</v>
      </c>
      <c r="F45" s="1">
        <v>1.029245</v>
      </c>
      <c r="G45" s="1">
        <v>0.66656000000000004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  <c r="AF45" t="s">
        <v>30</v>
      </c>
    </row>
    <row r="46" spans="1:32" x14ac:dyDescent="0.35">
      <c r="A46" s="1">
        <v>760</v>
      </c>
      <c r="B46" s="1">
        <v>23.456714999999999</v>
      </c>
      <c r="C46" s="1">
        <v>29.158023</v>
      </c>
      <c r="D46" s="1">
        <v>115.282335</v>
      </c>
      <c r="E46" s="1">
        <v>-2.0890930000000001</v>
      </c>
      <c r="F46" s="1">
        <v>-1.8780319999999999</v>
      </c>
      <c r="G46" s="1">
        <v>-1.468167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  <c r="AE46" t="s">
        <v>30</v>
      </c>
      <c r="AF46" t="s">
        <v>30</v>
      </c>
    </row>
    <row r="47" spans="1:32" x14ac:dyDescent="0.35">
      <c r="A47" s="1">
        <v>780</v>
      </c>
      <c r="B47" s="1">
        <v>24.049185999999999</v>
      </c>
      <c r="C47" s="1">
        <v>28.202317000000001</v>
      </c>
      <c r="D47" s="1">
        <v>115.282335</v>
      </c>
      <c r="E47" s="1">
        <v>-0.355628</v>
      </c>
      <c r="F47" s="1">
        <v>-2.2420990000000001</v>
      </c>
      <c r="G47" s="1">
        <v>-2.1087099999999999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s">
        <v>30</v>
      </c>
      <c r="AF47" t="s">
        <v>30</v>
      </c>
    </row>
    <row r="48" spans="1:32" x14ac:dyDescent="0.35">
      <c r="A48" s="1">
        <v>800</v>
      </c>
      <c r="B48" s="1">
        <v>24.642341999999999</v>
      </c>
      <c r="C48" s="1">
        <v>26.85266</v>
      </c>
      <c r="D48" s="1">
        <v>115.282335</v>
      </c>
      <c r="E48" s="1">
        <v>5.5084000000000001E-2</v>
      </c>
      <c r="F48" s="1">
        <v>-0.69121999999999995</v>
      </c>
      <c r="G48" s="1">
        <v>-2.4741309999999999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  <c r="AE48" t="s">
        <v>30</v>
      </c>
      <c r="AF48" t="s">
        <v>30</v>
      </c>
    </row>
    <row r="49" spans="1:32" x14ac:dyDescent="0.35">
      <c r="A49" s="1">
        <v>820</v>
      </c>
      <c r="B49" s="1">
        <v>25.225287999999999</v>
      </c>
      <c r="C49" s="1">
        <v>27.782204</v>
      </c>
      <c r="D49" s="1">
        <v>115.282335</v>
      </c>
      <c r="E49" s="1">
        <v>1.131472</v>
      </c>
      <c r="F49" s="1">
        <v>0.67974199999999996</v>
      </c>
      <c r="G49" s="1">
        <v>-2.3793009999999999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s">
        <v>30</v>
      </c>
      <c r="AF49" t="s">
        <v>30</v>
      </c>
    </row>
    <row r="50" spans="1:32" x14ac:dyDescent="0.35">
      <c r="A50" s="1">
        <v>840</v>
      </c>
      <c r="B50" s="1">
        <v>25.824045000000002</v>
      </c>
      <c r="C50" s="1">
        <v>29.020944</v>
      </c>
      <c r="D50" s="1">
        <v>115.282335</v>
      </c>
      <c r="E50" s="1">
        <v>3.0487039999999999</v>
      </c>
      <c r="F50" s="1">
        <v>3.0652059999999999</v>
      </c>
      <c r="G50" s="1">
        <v>-1.814924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  <c r="AE50" t="s">
        <v>30</v>
      </c>
      <c r="AF50" t="s">
        <v>30</v>
      </c>
    </row>
    <row r="51" spans="1:32" x14ac:dyDescent="0.35">
      <c r="A51" s="1">
        <v>860</v>
      </c>
      <c r="B51" s="1">
        <v>26.420998999999998</v>
      </c>
      <c r="C51" s="1">
        <v>26.320202999999999</v>
      </c>
      <c r="D51" s="1">
        <v>115.282335</v>
      </c>
      <c r="E51" s="1">
        <v>1.96088</v>
      </c>
      <c r="F51" s="1">
        <v>-2.0415480000000001</v>
      </c>
      <c r="G51" s="1">
        <v>1.3884939999999999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s">
        <v>30</v>
      </c>
      <c r="AF51" t="s">
        <v>30</v>
      </c>
    </row>
    <row r="52" spans="1:32" x14ac:dyDescent="0.35">
      <c r="A52" s="1">
        <v>880</v>
      </c>
      <c r="B52" s="1">
        <v>26.997288999999999</v>
      </c>
      <c r="C52" s="1">
        <v>29.087758000000001</v>
      </c>
      <c r="D52" s="1">
        <v>115.282335</v>
      </c>
      <c r="E52" s="1">
        <v>0.47305799999999998</v>
      </c>
      <c r="F52" s="1">
        <v>6.1901999999999999E-2</v>
      </c>
      <c r="G52" s="1">
        <v>3.3062309999999999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  <c r="AE52" t="s">
        <v>30</v>
      </c>
      <c r="AF52" t="s">
        <v>30</v>
      </c>
    </row>
    <row r="53" spans="1:32" x14ac:dyDescent="0.35">
      <c r="A53" s="1">
        <v>900</v>
      </c>
      <c r="B53" s="1">
        <v>27.564550000000001</v>
      </c>
      <c r="C53" s="1">
        <v>30.757583</v>
      </c>
      <c r="D53" s="1">
        <v>115.282335</v>
      </c>
      <c r="E53" s="1">
        <v>-2.531145</v>
      </c>
      <c r="F53" s="1">
        <v>0.507046</v>
      </c>
      <c r="G53" s="1">
        <v>1.380744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s">
        <v>30</v>
      </c>
      <c r="AF53" t="s">
        <v>30</v>
      </c>
    </row>
    <row r="54" spans="1:32" x14ac:dyDescent="0.35">
      <c r="A54" s="1">
        <v>920</v>
      </c>
      <c r="B54" s="1">
        <v>28.174211</v>
      </c>
      <c r="C54" s="1">
        <v>21.858889999999999</v>
      </c>
      <c r="D54" s="1">
        <v>115.282335</v>
      </c>
      <c r="E54" s="1">
        <v>1.4266749999999999</v>
      </c>
      <c r="F54" s="1">
        <v>1.6375960000000001</v>
      </c>
      <c r="G54" s="1">
        <v>-0.79136799999999996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  <c r="AE54" t="s">
        <v>30</v>
      </c>
      <c r="AF54" t="s">
        <v>30</v>
      </c>
    </row>
    <row r="55" spans="1:32" x14ac:dyDescent="0.35">
      <c r="A55" s="1">
        <v>940</v>
      </c>
      <c r="B55" s="1">
        <v>28.816967999999999</v>
      </c>
      <c r="C55" s="1">
        <v>28.156972</v>
      </c>
      <c r="D55" s="1">
        <v>115.282335</v>
      </c>
      <c r="E55" s="1">
        <v>0.47752800000000001</v>
      </c>
      <c r="F55" s="1">
        <v>0.489178</v>
      </c>
      <c r="G55" s="1">
        <v>-0.30483700000000002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</row>
    <row r="56" spans="1:32" x14ac:dyDescent="0.35">
      <c r="A56" s="1">
        <v>960</v>
      </c>
      <c r="B56" s="1">
        <v>29.410266</v>
      </c>
      <c r="C56" s="1">
        <v>28.471474000000001</v>
      </c>
      <c r="D56" s="1">
        <v>115.282335</v>
      </c>
      <c r="E56" s="1">
        <v>-1.9758230000000001</v>
      </c>
      <c r="F56" s="1">
        <v>-2.6459250000000001</v>
      </c>
      <c r="G56" s="1">
        <v>2.72384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  <c r="AE56" t="s">
        <v>30</v>
      </c>
      <c r="AF56" t="s">
        <v>30</v>
      </c>
    </row>
    <row r="57" spans="1:32" x14ac:dyDescent="0.35">
      <c r="A57" s="1">
        <v>980</v>
      </c>
      <c r="B57" s="1">
        <v>29.973426</v>
      </c>
      <c r="C57" s="1">
        <v>28.832996999999999</v>
      </c>
      <c r="D57" s="1">
        <v>115.282335</v>
      </c>
      <c r="E57" s="1">
        <v>0.34760799999999997</v>
      </c>
      <c r="F57" s="1">
        <v>-3.0183019999999998</v>
      </c>
      <c r="G57" s="1">
        <v>-0.228241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</row>
    <row r="58" spans="1:32" x14ac:dyDescent="0.35">
      <c r="A58" s="1">
        <v>1000</v>
      </c>
      <c r="B58" s="1">
        <v>30.555637999999998</v>
      </c>
      <c r="C58" s="1">
        <v>27.435600000000001</v>
      </c>
      <c r="D58" s="1">
        <v>115.282335</v>
      </c>
      <c r="E58" s="1">
        <v>-0.30141600000000002</v>
      </c>
      <c r="F58" s="1">
        <v>-0.48978500000000003</v>
      </c>
      <c r="G58" s="1">
        <v>-0.38423299999999999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  <c r="AE58" t="s">
        <v>30</v>
      </c>
      <c r="AF58" t="s">
        <v>30</v>
      </c>
    </row>
    <row r="59" spans="1:32" x14ac:dyDescent="0.35">
      <c r="A59" s="1">
        <v>1020</v>
      </c>
      <c r="B59" s="1">
        <v>31.139565999999999</v>
      </c>
      <c r="C59" s="1">
        <v>27.795311000000002</v>
      </c>
      <c r="D59" s="1">
        <v>115.282335</v>
      </c>
      <c r="E59" s="1">
        <v>0.15745799999999999</v>
      </c>
      <c r="F59" s="1">
        <v>0.83023100000000005</v>
      </c>
      <c r="G59" s="1">
        <v>0.72036299999999998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30</v>
      </c>
      <c r="AF59" t="s">
        <v>30</v>
      </c>
    </row>
    <row r="60" spans="1:32" x14ac:dyDescent="0.35">
      <c r="A60" s="1">
        <v>1040</v>
      </c>
      <c r="B60" s="1">
        <v>31.723115</v>
      </c>
      <c r="C60" s="1">
        <v>29.730402999999999</v>
      </c>
      <c r="D60" s="1">
        <v>115.282335</v>
      </c>
      <c r="E60" s="1">
        <v>1.5651679999999999</v>
      </c>
      <c r="F60" s="1">
        <v>1.3028189999999999</v>
      </c>
      <c r="G60" s="1">
        <v>-0.44563799999999998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  <c r="AE60" t="s">
        <v>30</v>
      </c>
      <c r="AF60" t="s">
        <v>30</v>
      </c>
    </row>
    <row r="61" spans="1:32" x14ac:dyDescent="0.35">
      <c r="A61" s="1">
        <v>1060</v>
      </c>
      <c r="B61" s="1">
        <v>32.325941</v>
      </c>
      <c r="C61" s="1">
        <v>27.002549999999999</v>
      </c>
      <c r="D61" s="1">
        <v>115.282335</v>
      </c>
      <c r="E61" s="1">
        <v>0.91091</v>
      </c>
      <c r="F61" s="1">
        <v>-0.41796800000000001</v>
      </c>
      <c r="G61" s="1">
        <v>-2.244497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s">
        <v>30</v>
      </c>
      <c r="AF61" t="s">
        <v>30</v>
      </c>
    </row>
    <row r="62" spans="1:32" x14ac:dyDescent="0.35">
      <c r="A62" s="1">
        <v>1080</v>
      </c>
      <c r="B62" s="1">
        <v>32.897334999999998</v>
      </c>
      <c r="C62" s="1">
        <v>31.492501000000001</v>
      </c>
      <c r="D62" s="1">
        <v>115.282335</v>
      </c>
      <c r="E62" s="1">
        <v>-1.7218709999999999</v>
      </c>
      <c r="F62" s="1">
        <v>-0.45354699999999998</v>
      </c>
      <c r="G62" s="1">
        <v>-1.4198489999999999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  <c r="AE62" t="s">
        <v>30</v>
      </c>
      <c r="AF62" t="s">
        <v>30</v>
      </c>
    </row>
    <row r="63" spans="1:32" x14ac:dyDescent="0.35">
      <c r="A63" s="1">
        <v>1100</v>
      </c>
      <c r="B63" s="1">
        <v>33.482073999999997</v>
      </c>
      <c r="C63" s="1">
        <v>30.300124</v>
      </c>
      <c r="D63" s="1">
        <v>115.282335</v>
      </c>
      <c r="E63" s="1">
        <v>0.58182599999999995</v>
      </c>
      <c r="F63" s="1">
        <v>1.5321959999999999</v>
      </c>
      <c r="G63" s="1">
        <v>-0.89380000000000004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s">
        <v>30</v>
      </c>
      <c r="AF63" t="s">
        <v>30</v>
      </c>
    </row>
    <row r="64" spans="1:32" x14ac:dyDescent="0.35">
      <c r="A64" s="1">
        <v>1120</v>
      </c>
      <c r="B64" s="1">
        <v>34.043374999999997</v>
      </c>
      <c r="C64" s="1">
        <v>30.421303000000002</v>
      </c>
      <c r="D64" s="1">
        <v>115.282335</v>
      </c>
      <c r="E64" s="1">
        <v>-0.56350299999999998</v>
      </c>
      <c r="F64" s="1">
        <v>-9.7499000000000002E-2</v>
      </c>
      <c r="G64" s="1">
        <v>-1.3825019999999999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  <c r="AE64" t="s">
        <v>30</v>
      </c>
      <c r="AF64" t="s">
        <v>30</v>
      </c>
    </row>
    <row r="65" spans="1:32" x14ac:dyDescent="0.35">
      <c r="A65" s="1">
        <v>1140</v>
      </c>
      <c r="B65" s="1">
        <v>34.620235999999998</v>
      </c>
      <c r="C65" s="1">
        <v>29.051546999999999</v>
      </c>
      <c r="D65" s="1">
        <v>115.282335</v>
      </c>
      <c r="E65" s="1">
        <v>-1.537649</v>
      </c>
      <c r="F65" s="1">
        <v>2.8403260000000001</v>
      </c>
      <c r="G65" s="1">
        <v>1.627386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</row>
    <row r="66" spans="1:32" x14ac:dyDescent="0.35">
      <c r="A66" s="1">
        <v>1160</v>
      </c>
      <c r="B66" s="1">
        <v>35.211910000000003</v>
      </c>
      <c r="C66" s="1">
        <v>24.604199999999999</v>
      </c>
      <c r="D66" s="1">
        <v>115.282335</v>
      </c>
      <c r="E66" s="1">
        <v>-0.80516399999999999</v>
      </c>
      <c r="F66" s="1">
        <v>0.12723899999999999</v>
      </c>
      <c r="G66" s="1">
        <v>0.87759399999999999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  <c r="AE66" t="s">
        <v>30</v>
      </c>
      <c r="AF66" t="s">
        <v>30</v>
      </c>
    </row>
    <row r="67" spans="1:32" x14ac:dyDescent="0.35">
      <c r="A67" s="1">
        <v>1180</v>
      </c>
      <c r="B67" s="1">
        <v>35.806767000000001</v>
      </c>
      <c r="C67" s="1">
        <v>30.121815000000002</v>
      </c>
      <c r="D67" s="1">
        <v>115.282335</v>
      </c>
      <c r="E67" s="1">
        <v>-0.484043</v>
      </c>
      <c r="F67" s="1">
        <v>0.28020299999999998</v>
      </c>
      <c r="G67" s="1">
        <v>-0.202871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t="s">
        <v>30</v>
      </c>
    </row>
    <row r="68" spans="1:32" x14ac:dyDescent="0.35">
      <c r="A68" s="1">
        <v>1200</v>
      </c>
      <c r="B68" s="1">
        <v>36.383479000000001</v>
      </c>
      <c r="C68" s="1">
        <v>29.750402000000001</v>
      </c>
      <c r="D68" s="1">
        <v>115.282335</v>
      </c>
      <c r="E68" s="1">
        <v>1.207762</v>
      </c>
      <c r="F68" s="1">
        <v>-0.38845200000000002</v>
      </c>
      <c r="G68" s="1">
        <v>0.47333999999999998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  <c r="AE68" t="s">
        <v>30</v>
      </c>
      <c r="AF68" t="s">
        <v>30</v>
      </c>
    </row>
    <row r="69" spans="1:32" x14ac:dyDescent="0.35">
      <c r="A69" s="1">
        <v>1220</v>
      </c>
      <c r="B69" s="1">
        <v>36.957704</v>
      </c>
      <c r="C69" s="1">
        <v>25.635968999999999</v>
      </c>
      <c r="D69" s="1">
        <v>115.282335</v>
      </c>
      <c r="E69" s="1">
        <v>1.511576</v>
      </c>
      <c r="F69" s="1">
        <v>0.89722000000000002</v>
      </c>
      <c r="G69" s="1">
        <v>0.44623299999999999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</row>
    <row r="70" spans="1:32" x14ac:dyDescent="0.35">
      <c r="A70" s="1">
        <v>1240</v>
      </c>
      <c r="B70" s="1">
        <v>37.546185999999999</v>
      </c>
      <c r="C70" s="1">
        <v>29.976997000000001</v>
      </c>
      <c r="D70" s="1">
        <v>115.282335</v>
      </c>
      <c r="E70" s="1">
        <v>-0.60214500000000004</v>
      </c>
      <c r="F70" s="1">
        <v>-1.2294929999999999</v>
      </c>
      <c r="G70" s="1">
        <v>0.83588799999999996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  <c r="AE70" t="s">
        <v>30</v>
      </c>
      <c r="AF70" t="s">
        <v>30</v>
      </c>
    </row>
    <row r="71" spans="1:32" x14ac:dyDescent="0.35">
      <c r="A71" s="1">
        <v>1260</v>
      </c>
      <c r="B71" s="1">
        <v>38.172801</v>
      </c>
      <c r="C71" s="1">
        <v>18.661892999999999</v>
      </c>
      <c r="D71" s="1">
        <v>115.282335</v>
      </c>
      <c r="E71" s="1">
        <v>-1.499968</v>
      </c>
      <c r="F71" s="1">
        <v>0.426842</v>
      </c>
      <c r="G71" s="1">
        <v>0.90665099999999998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t="s">
        <v>30</v>
      </c>
    </row>
    <row r="72" spans="1:32" x14ac:dyDescent="0.35">
      <c r="A72" s="1">
        <v>1280</v>
      </c>
      <c r="B72" s="1">
        <v>38.787275000000001</v>
      </c>
      <c r="C72" s="1">
        <v>31.491437999999999</v>
      </c>
      <c r="D72" s="1">
        <v>115.282335</v>
      </c>
      <c r="E72" s="1">
        <v>-1.5575570000000001</v>
      </c>
      <c r="F72" s="1">
        <v>0.39012400000000003</v>
      </c>
      <c r="G72" s="1">
        <v>-2.2682720000000001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  <c r="AE72" t="s">
        <v>30</v>
      </c>
      <c r="AF72" t="s">
        <v>30</v>
      </c>
    </row>
    <row r="73" spans="1:32" x14ac:dyDescent="0.35">
      <c r="A73" s="1">
        <v>1300</v>
      </c>
      <c r="B73" s="1">
        <v>39.390143000000002</v>
      </c>
      <c r="C73" s="1">
        <v>30.910122000000001</v>
      </c>
      <c r="D73" s="1">
        <v>115.282335</v>
      </c>
      <c r="E73" s="1">
        <v>0.37018699999999999</v>
      </c>
      <c r="F73" s="1">
        <v>-0.131049</v>
      </c>
      <c r="G73" s="1">
        <v>-1.6922999999999999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t="s">
        <v>30</v>
      </c>
    </row>
    <row r="74" spans="1:32" x14ac:dyDescent="0.35">
      <c r="A74" s="1">
        <v>1320</v>
      </c>
      <c r="B74" s="1">
        <v>39.968629</v>
      </c>
      <c r="C74" s="1">
        <v>29.817263000000001</v>
      </c>
      <c r="D74" s="1">
        <v>115.282335</v>
      </c>
      <c r="E74" s="1">
        <v>0.62319500000000005</v>
      </c>
      <c r="F74" s="1">
        <v>0.29281600000000002</v>
      </c>
      <c r="G74" s="1">
        <v>0.94470299999999996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  <c r="AE74" t="s">
        <v>30</v>
      </c>
      <c r="AF74" t="s">
        <v>30</v>
      </c>
    </row>
    <row r="75" spans="1:32" x14ac:dyDescent="0.35">
      <c r="A75" s="1">
        <v>1340</v>
      </c>
      <c r="B75" s="1">
        <v>40.553800000000003</v>
      </c>
      <c r="C75" s="1">
        <v>29.829111000000001</v>
      </c>
      <c r="D75" s="1">
        <v>115.282335</v>
      </c>
      <c r="E75" s="1">
        <v>-1.293671</v>
      </c>
      <c r="F75" s="1">
        <v>0.130298</v>
      </c>
      <c r="G75" s="1">
        <v>1.1943699999999999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s">
        <v>30</v>
      </c>
      <c r="AF75" t="s">
        <v>30</v>
      </c>
    </row>
    <row r="76" spans="1:32" x14ac:dyDescent="0.35">
      <c r="A76" s="1">
        <v>1360</v>
      </c>
      <c r="B76" s="1">
        <v>41.137269000000003</v>
      </c>
      <c r="C76" s="1">
        <v>30.136724999999998</v>
      </c>
      <c r="D76" s="1">
        <v>115.282335</v>
      </c>
      <c r="E76" s="1">
        <v>-4.7784E-2</v>
      </c>
      <c r="F76" s="1">
        <v>-1.3492949999999999</v>
      </c>
      <c r="G76" s="1">
        <v>0.93609399999999998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  <c r="AE76" t="s">
        <v>30</v>
      </c>
      <c r="AF76" t="s">
        <v>30</v>
      </c>
    </row>
    <row r="77" spans="1:32" x14ac:dyDescent="0.35">
      <c r="A77" s="1">
        <v>1380</v>
      </c>
      <c r="B77" s="1">
        <v>41.744875</v>
      </c>
      <c r="C77" s="1">
        <v>30.636327000000001</v>
      </c>
      <c r="D77" s="1">
        <v>115.282335</v>
      </c>
      <c r="E77" s="1">
        <v>0.12375</v>
      </c>
      <c r="F77" s="1">
        <v>-0.229963</v>
      </c>
      <c r="G77" s="1">
        <v>-0.45313999999999999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  <c r="AE77" t="s">
        <v>30</v>
      </c>
      <c r="AF77" t="s">
        <v>30</v>
      </c>
    </row>
    <row r="78" spans="1:32" x14ac:dyDescent="0.35">
      <c r="A78" s="1">
        <v>1400</v>
      </c>
      <c r="B78" s="1">
        <v>42.368499</v>
      </c>
      <c r="C78" s="1">
        <v>25.878596000000002</v>
      </c>
      <c r="D78" s="1">
        <v>115.282335</v>
      </c>
      <c r="E78" s="1">
        <v>-1.6394759999999999</v>
      </c>
      <c r="F78" s="1">
        <v>2.7922959999999999</v>
      </c>
      <c r="G78" s="1">
        <v>0.73397900000000005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  <c r="AE78" t="s">
        <v>30</v>
      </c>
      <c r="AF78" t="s">
        <v>30</v>
      </c>
    </row>
    <row r="79" spans="1:32" x14ac:dyDescent="0.35">
      <c r="A79" s="1">
        <v>1420</v>
      </c>
      <c r="B79" s="1">
        <v>42.951239999999999</v>
      </c>
      <c r="C79" s="1">
        <v>29.044236000000001</v>
      </c>
      <c r="D79" s="1">
        <v>115.282335</v>
      </c>
      <c r="E79" s="1">
        <v>0.91310199999999997</v>
      </c>
      <c r="F79" s="1">
        <v>1.5443830000000001</v>
      </c>
      <c r="G79" s="1">
        <v>2.7498469999999999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s">
        <v>30</v>
      </c>
      <c r="AF79" t="s">
        <v>30</v>
      </c>
    </row>
    <row r="80" spans="1:32" x14ac:dyDescent="0.35">
      <c r="A80" s="1">
        <v>1440</v>
      </c>
      <c r="B80" s="1">
        <v>43.547091999999999</v>
      </c>
      <c r="C80" s="1">
        <v>25.858795000000001</v>
      </c>
      <c r="D80" s="1">
        <v>115.282335</v>
      </c>
      <c r="E80" s="1">
        <v>0.37135800000000002</v>
      </c>
      <c r="F80" s="1">
        <v>2.6847750000000001</v>
      </c>
      <c r="G80" s="1">
        <v>-1.1012850000000001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  <c r="AE80" t="s">
        <v>30</v>
      </c>
      <c r="AF80" t="s">
        <v>30</v>
      </c>
    </row>
    <row r="81" spans="1:32" x14ac:dyDescent="0.35">
      <c r="A81" s="1">
        <v>1460</v>
      </c>
      <c r="B81" s="1">
        <v>44.133887000000001</v>
      </c>
      <c r="C81" s="1">
        <v>30.702006000000001</v>
      </c>
      <c r="D81" s="1">
        <v>115.282335</v>
      </c>
      <c r="E81" s="1">
        <v>-1.25095</v>
      </c>
      <c r="F81" s="1">
        <v>-0.51568599999999998</v>
      </c>
      <c r="G81" s="1">
        <v>-1.487981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s">
        <v>30</v>
      </c>
      <c r="AF81" t="s">
        <v>30</v>
      </c>
    </row>
    <row r="82" spans="1:32" x14ac:dyDescent="0.35">
      <c r="A82" s="1">
        <v>1480</v>
      </c>
      <c r="B82" s="1">
        <v>44.730580000000003</v>
      </c>
      <c r="C82" s="1">
        <v>32.183658000000001</v>
      </c>
      <c r="D82" s="1">
        <v>115.282335</v>
      </c>
      <c r="E82" s="1">
        <v>-1.5115209999999999</v>
      </c>
      <c r="F82" s="1">
        <v>-2.5717620000000001</v>
      </c>
      <c r="G82" s="1">
        <v>-1.3601399999999999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  <c r="AE82" t="s">
        <v>30</v>
      </c>
      <c r="AF82" t="s">
        <v>30</v>
      </c>
    </row>
    <row r="83" spans="1:32" x14ac:dyDescent="0.35">
      <c r="A83" s="1">
        <v>1500</v>
      </c>
      <c r="B83" s="1">
        <v>45.344121999999999</v>
      </c>
      <c r="C83" s="1">
        <v>26.242663</v>
      </c>
      <c r="D83" s="1">
        <v>115.282335</v>
      </c>
      <c r="E83" s="1">
        <v>-4.5331000000000003E-2</v>
      </c>
      <c r="F83" s="1">
        <v>-0.788273</v>
      </c>
      <c r="G83" s="1">
        <v>1.987716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  <c r="AE83" t="s">
        <v>30</v>
      </c>
      <c r="AF83" t="s">
        <v>30</v>
      </c>
    </row>
    <row r="84" spans="1:32" x14ac:dyDescent="0.35">
      <c r="A84" s="1">
        <v>1520</v>
      </c>
      <c r="B84" s="1">
        <v>45.971992999999998</v>
      </c>
      <c r="C84" s="1">
        <v>22.439617999999999</v>
      </c>
      <c r="D84" s="1">
        <v>115.282335</v>
      </c>
      <c r="E84" s="1">
        <v>0.48773100000000003</v>
      </c>
      <c r="F84" s="1">
        <v>1.85304</v>
      </c>
      <c r="G84" s="1">
        <v>0.80251899999999998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  <c r="AE84" t="s">
        <v>30</v>
      </c>
      <c r="AF84" t="s">
        <v>30</v>
      </c>
    </row>
    <row r="85" spans="1:32" x14ac:dyDescent="0.35">
      <c r="A85" s="1">
        <v>1540</v>
      </c>
      <c r="B85" s="1">
        <v>46.578704000000002</v>
      </c>
      <c r="C85" s="1">
        <v>27.851161000000001</v>
      </c>
      <c r="D85" s="1">
        <v>115.282335</v>
      </c>
      <c r="E85" s="1">
        <v>1.6352580000000001</v>
      </c>
      <c r="F85" s="1">
        <v>0.33434000000000003</v>
      </c>
      <c r="G85" s="1">
        <v>-1.1931350000000001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s">
        <v>30</v>
      </c>
      <c r="AF85" t="s">
        <v>30</v>
      </c>
    </row>
    <row r="86" spans="1:32" x14ac:dyDescent="0.35">
      <c r="A86" s="1">
        <v>1560</v>
      </c>
      <c r="B86" s="1">
        <v>47.286740000000002</v>
      </c>
      <c r="C86" s="1">
        <v>21.883679000000001</v>
      </c>
      <c r="D86" s="1">
        <v>115.282335</v>
      </c>
      <c r="E86" s="1">
        <v>0.23217599999999999</v>
      </c>
      <c r="F86" s="1">
        <v>1.1231279999999999</v>
      </c>
      <c r="G86" s="1">
        <v>-2.2953429999999999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  <c r="AE86" t="s">
        <v>30</v>
      </c>
      <c r="AF86" t="s">
        <v>30</v>
      </c>
    </row>
    <row r="87" spans="1:32" x14ac:dyDescent="0.35">
      <c r="A87" s="1">
        <v>1580</v>
      </c>
      <c r="B87" s="1">
        <v>47.896490999999997</v>
      </c>
      <c r="C87" s="1">
        <v>30.549907000000001</v>
      </c>
      <c r="D87" s="1">
        <v>115.282335</v>
      </c>
      <c r="E87" s="1">
        <v>-0.185416</v>
      </c>
      <c r="F87" s="1">
        <v>0.19201199999999999</v>
      </c>
      <c r="G87" s="1">
        <v>-0.53449400000000002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s">
        <v>30</v>
      </c>
      <c r="AF87" t="s">
        <v>30</v>
      </c>
    </row>
    <row r="88" spans="1:32" x14ac:dyDescent="0.35">
      <c r="A88" s="1">
        <v>1600</v>
      </c>
      <c r="B88" s="1">
        <v>48.488086000000003</v>
      </c>
      <c r="C88" s="1">
        <v>27.425611</v>
      </c>
      <c r="D88" s="1">
        <v>115.282335</v>
      </c>
      <c r="E88" s="1">
        <v>-1.211719</v>
      </c>
      <c r="F88" s="1">
        <v>-0.33244899999999999</v>
      </c>
      <c r="G88" s="1">
        <v>0.115534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  <c r="AE88" t="s">
        <v>30</v>
      </c>
      <c r="AF88" t="s">
        <v>30</v>
      </c>
    </row>
    <row r="89" spans="1:32" x14ac:dyDescent="0.35">
      <c r="A89" s="1">
        <v>1620</v>
      </c>
      <c r="B89" s="1">
        <v>49.066079000000002</v>
      </c>
      <c r="C89" s="1">
        <v>28.783543999999999</v>
      </c>
      <c r="D89" s="1">
        <v>115.282335</v>
      </c>
      <c r="E89" s="1">
        <v>0.48154000000000002</v>
      </c>
      <c r="F89" s="1">
        <v>-0.82470600000000005</v>
      </c>
      <c r="G89" s="1">
        <v>3.3829729999999998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s">
        <v>30</v>
      </c>
      <c r="AF89" t="s">
        <v>30</v>
      </c>
    </row>
    <row r="90" spans="1:32" x14ac:dyDescent="0.35">
      <c r="A90" s="1">
        <v>1640</v>
      </c>
      <c r="B90" s="1">
        <v>49.638233</v>
      </c>
      <c r="C90" s="1">
        <v>29.159002000000001</v>
      </c>
      <c r="D90" s="1">
        <v>115.282335</v>
      </c>
      <c r="E90" s="1">
        <v>-0.18498200000000001</v>
      </c>
      <c r="F90" s="1">
        <v>1.3847050000000001</v>
      </c>
      <c r="G90" s="1">
        <v>0.89462200000000003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  <c r="AE90" t="s">
        <v>30</v>
      </c>
      <c r="AF90" t="s">
        <v>30</v>
      </c>
    </row>
    <row r="91" spans="1:32" x14ac:dyDescent="0.35">
      <c r="A91" s="1">
        <v>1660</v>
      </c>
      <c r="B91" s="1">
        <v>50.233277999999999</v>
      </c>
      <c r="C91" s="1">
        <v>29.281648000000001</v>
      </c>
      <c r="D91" s="1">
        <v>115.282335</v>
      </c>
      <c r="E91" s="1">
        <v>0.79891199999999996</v>
      </c>
      <c r="F91" s="1">
        <v>1.0608759999999999</v>
      </c>
      <c r="G91" s="1">
        <v>-0.29844799999999999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  <c r="AE91" t="s">
        <v>30</v>
      </c>
      <c r="AF91" t="s">
        <v>30</v>
      </c>
    </row>
    <row r="92" spans="1:32" x14ac:dyDescent="0.35">
      <c r="A92" s="1">
        <v>1680</v>
      </c>
      <c r="B92" s="1">
        <v>50.824921000000003</v>
      </c>
      <c r="C92" s="1">
        <v>29.871285</v>
      </c>
      <c r="D92" s="1">
        <v>115.282335</v>
      </c>
      <c r="E92" s="1">
        <v>-1.1811309999999999</v>
      </c>
      <c r="F92" s="1">
        <v>0.51524400000000004</v>
      </c>
      <c r="G92" s="1">
        <v>-0.26675100000000002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  <c r="AE92" t="s">
        <v>30</v>
      </c>
      <c r="AF92" t="s">
        <v>30</v>
      </c>
    </row>
    <row r="93" spans="1:32" x14ac:dyDescent="0.35">
      <c r="A93" s="1">
        <v>1700</v>
      </c>
      <c r="B93" s="1">
        <v>51.407162999999997</v>
      </c>
      <c r="C93" s="1">
        <v>31.441313000000001</v>
      </c>
      <c r="D93" s="1">
        <v>115.282335</v>
      </c>
      <c r="E93" s="1">
        <v>-3.5950540000000002</v>
      </c>
      <c r="F93" s="1">
        <v>0.25629000000000002</v>
      </c>
      <c r="G93" s="1">
        <v>-0.20058899999999999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  <c r="AE93" t="s">
        <v>30</v>
      </c>
      <c r="AF93" t="s">
        <v>30</v>
      </c>
    </row>
    <row r="94" spans="1:32" x14ac:dyDescent="0.35">
      <c r="A94" s="1">
        <v>1720</v>
      </c>
      <c r="B94" s="1">
        <v>51.998787</v>
      </c>
      <c r="C94" s="1">
        <v>30.777889999999999</v>
      </c>
      <c r="D94" s="1">
        <v>115.282335</v>
      </c>
      <c r="E94" s="1">
        <v>-1.35303</v>
      </c>
      <c r="F94" s="1">
        <v>0.30526999999999999</v>
      </c>
      <c r="G94" s="1">
        <v>0.26167400000000002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  <c r="AE94" t="s">
        <v>30</v>
      </c>
      <c r="AF94" t="s">
        <v>30</v>
      </c>
    </row>
    <row r="95" spans="1:32" x14ac:dyDescent="0.35">
      <c r="A95" s="1">
        <v>1740</v>
      </c>
      <c r="B95" s="1">
        <v>52.591954999999999</v>
      </c>
      <c r="C95" s="1">
        <v>26.261928999999999</v>
      </c>
      <c r="D95" s="1">
        <v>115.282335</v>
      </c>
      <c r="E95" s="1">
        <v>-0.13220100000000001</v>
      </c>
      <c r="F95" s="1">
        <v>8.3097000000000004E-2</v>
      </c>
      <c r="G95" s="1">
        <v>0.79205599999999998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s">
        <v>30</v>
      </c>
      <c r="AF95" t="s">
        <v>30</v>
      </c>
    </row>
    <row r="96" spans="1:32" x14ac:dyDescent="0.35">
      <c r="A96" s="1">
        <v>1760</v>
      </c>
      <c r="B96" s="1">
        <v>53.208410999999998</v>
      </c>
      <c r="C96" s="1">
        <v>24.598742999999999</v>
      </c>
      <c r="D96" s="1">
        <v>115.282335</v>
      </c>
      <c r="E96" s="1">
        <v>1.8153859999999999</v>
      </c>
      <c r="F96" s="1">
        <v>1.114039</v>
      </c>
      <c r="G96" s="1">
        <v>0.21967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  <c r="AE96" t="s">
        <v>30</v>
      </c>
      <c r="AF96" t="s">
        <v>30</v>
      </c>
    </row>
    <row r="97" spans="1:32" x14ac:dyDescent="0.35">
      <c r="A97" s="1">
        <v>1780</v>
      </c>
      <c r="B97" s="1">
        <v>53.941795999999997</v>
      </c>
      <c r="C97" s="1">
        <v>25.750710000000002</v>
      </c>
      <c r="D97" s="1">
        <v>115.282335</v>
      </c>
      <c r="E97" s="1">
        <v>1.8453040000000001</v>
      </c>
      <c r="F97" s="1">
        <v>0.28570000000000001</v>
      </c>
      <c r="G97" s="1">
        <v>-2.9094099999999998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  <c r="AE97" t="s">
        <v>30</v>
      </c>
      <c r="AF97" t="s">
        <v>30</v>
      </c>
    </row>
    <row r="98" spans="1:32" x14ac:dyDescent="0.35">
      <c r="A98" s="1">
        <v>1800</v>
      </c>
      <c r="B98" s="1">
        <v>54.648400000000002</v>
      </c>
      <c r="C98" s="1">
        <v>26.270299000000001</v>
      </c>
      <c r="D98" s="1">
        <v>115.282335</v>
      </c>
      <c r="E98" s="1">
        <v>1.0599590000000001</v>
      </c>
      <c r="F98" s="1">
        <v>-1.874903</v>
      </c>
      <c r="G98" s="1">
        <v>-1.8647309999999999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  <c r="AE98" t="s">
        <v>30</v>
      </c>
      <c r="AF98" t="s">
        <v>30</v>
      </c>
    </row>
    <row r="99" spans="1:32" x14ac:dyDescent="0.35">
      <c r="A99" s="1">
        <v>1820</v>
      </c>
      <c r="B99" s="1">
        <v>55.357211</v>
      </c>
      <c r="C99" s="1">
        <v>19.452376999999998</v>
      </c>
      <c r="D99" s="1">
        <v>115.282335</v>
      </c>
      <c r="E99" s="1">
        <v>-0.466692</v>
      </c>
      <c r="F99" s="1">
        <v>-2.3915869999999999</v>
      </c>
      <c r="G99" s="1">
        <v>-1.311002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s">
        <v>30</v>
      </c>
      <c r="AF99" t="s">
        <v>30</v>
      </c>
    </row>
    <row r="100" spans="1:32" x14ac:dyDescent="0.35">
      <c r="A100" s="1">
        <v>1840</v>
      </c>
      <c r="B100" s="1">
        <v>56.096527999999999</v>
      </c>
      <c r="C100" s="1">
        <v>20.698578999999999</v>
      </c>
      <c r="D100" s="1">
        <v>115.282335</v>
      </c>
      <c r="E100" s="1">
        <v>-1.6980949999999999</v>
      </c>
      <c r="F100" s="1">
        <v>-0.30768000000000001</v>
      </c>
      <c r="G100" s="1">
        <v>1.682226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  <c r="AE100" t="s">
        <v>30</v>
      </c>
      <c r="AF100" t="s">
        <v>30</v>
      </c>
    </row>
    <row r="101" spans="1:32" x14ac:dyDescent="0.35">
      <c r="A101" s="1">
        <v>1860</v>
      </c>
      <c r="B101" s="1">
        <v>56.822507000000002</v>
      </c>
      <c r="C101" s="1">
        <v>19.089015</v>
      </c>
      <c r="D101" s="1">
        <v>115.282335</v>
      </c>
      <c r="E101" s="1">
        <v>1.548948</v>
      </c>
      <c r="F101" s="1">
        <v>0.40207700000000002</v>
      </c>
      <c r="G101" s="1">
        <v>0.14441300000000001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  <c r="AE101" t="s">
        <v>30</v>
      </c>
      <c r="AF101" t="s">
        <v>30</v>
      </c>
    </row>
    <row r="102" spans="1:32" x14ac:dyDescent="0.35">
      <c r="A102" s="1">
        <v>1880</v>
      </c>
      <c r="B102" s="1">
        <v>57.517040000000001</v>
      </c>
      <c r="C102" s="1">
        <v>15.751810000000001</v>
      </c>
      <c r="D102" s="1">
        <v>115.282335</v>
      </c>
      <c r="E102" s="1">
        <v>2.3401670000000001</v>
      </c>
      <c r="F102" s="1">
        <v>0.1968</v>
      </c>
      <c r="G102" s="1">
        <v>0.62075000000000002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  <c r="AE102" t="s">
        <v>30</v>
      </c>
      <c r="AF102" t="s">
        <v>30</v>
      </c>
    </row>
    <row r="103" spans="1:32" x14ac:dyDescent="0.35">
      <c r="A103" s="1">
        <v>1900</v>
      </c>
      <c r="B103" s="1">
        <v>58.221680999999997</v>
      </c>
      <c r="C103" s="1">
        <v>27.755669999999999</v>
      </c>
      <c r="D103" s="1">
        <v>115.282335</v>
      </c>
      <c r="E103" s="1">
        <v>-1.523363</v>
      </c>
      <c r="F103" s="1">
        <v>-0.81966499999999998</v>
      </c>
      <c r="G103" s="1">
        <v>-1.0539240000000001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  <c r="AE103" t="s">
        <v>30</v>
      </c>
      <c r="AF103" t="s">
        <v>30</v>
      </c>
    </row>
    <row r="104" spans="1:32" x14ac:dyDescent="0.35">
      <c r="A104" s="1">
        <v>1920</v>
      </c>
      <c r="B104" s="1">
        <v>58.826129999999999</v>
      </c>
      <c r="C104" s="1">
        <v>28.960939</v>
      </c>
      <c r="D104" s="1">
        <v>115.282335</v>
      </c>
      <c r="E104" s="1">
        <v>-2.2178800000000001</v>
      </c>
      <c r="F104" s="1">
        <v>-2.5826289999999998</v>
      </c>
      <c r="G104" s="1">
        <v>0.31211499999999998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  <c r="AE104" t="s">
        <v>30</v>
      </c>
      <c r="AF104" t="s">
        <v>30</v>
      </c>
    </row>
    <row r="105" spans="1:32" x14ac:dyDescent="0.35">
      <c r="A105" s="1">
        <v>1940</v>
      </c>
      <c r="B105" s="1">
        <v>59.413722</v>
      </c>
      <c r="C105" s="1">
        <v>29.956852999999999</v>
      </c>
      <c r="D105" s="1">
        <v>115.282335</v>
      </c>
      <c r="E105" s="1">
        <v>-1.571088</v>
      </c>
      <c r="F105" s="1">
        <v>-3.1802730000000001</v>
      </c>
      <c r="G105" s="1">
        <v>0.88310100000000002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s">
        <v>30</v>
      </c>
      <c r="AF105" t="s">
        <v>30</v>
      </c>
    </row>
    <row r="106" spans="1:32" x14ac:dyDescent="0.35">
      <c r="A106" s="1">
        <v>1960</v>
      </c>
      <c r="B106" s="1">
        <v>60.008439000000003</v>
      </c>
      <c r="C106" s="1">
        <v>25.077369999999998</v>
      </c>
      <c r="D106" s="1">
        <v>115.282335</v>
      </c>
      <c r="E106" s="1">
        <v>-0.64218500000000001</v>
      </c>
      <c r="F106" s="1">
        <v>3.4148489999999998</v>
      </c>
      <c r="G106" s="1">
        <v>2.0054690000000002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  <c r="AE106" t="s">
        <v>30</v>
      </c>
      <c r="AF106" t="s">
        <v>30</v>
      </c>
    </row>
    <row r="107" spans="1:32" x14ac:dyDescent="0.35">
      <c r="A107" s="1">
        <v>1980</v>
      </c>
      <c r="B107" s="1">
        <v>60.615614000000001</v>
      </c>
      <c r="C107" s="1">
        <v>24.561534999999999</v>
      </c>
      <c r="D107" s="1">
        <v>115.282335</v>
      </c>
      <c r="E107" s="1">
        <v>2.824897</v>
      </c>
      <c r="F107" s="1">
        <v>1.2971269999999999</v>
      </c>
      <c r="G107" s="1">
        <v>0.52632500000000004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s">
        <v>30</v>
      </c>
      <c r="AF107" t="s">
        <v>30</v>
      </c>
    </row>
    <row r="108" spans="1:32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  <c r="AE108" t="s">
        <v>30</v>
      </c>
      <c r="AF108" t="s">
        <v>30</v>
      </c>
    </row>
    <row r="109" spans="1:32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s">
        <v>30</v>
      </c>
      <c r="AF109" t="s">
        <v>30</v>
      </c>
    </row>
    <row r="110" spans="1:32" x14ac:dyDescent="0.35">
      <c r="A110" t="s">
        <v>42</v>
      </c>
      <c r="B110" s="1">
        <v>2</v>
      </c>
      <c r="C110" s="1">
        <v>7</v>
      </c>
      <c r="D110" s="1">
        <v>28</v>
      </c>
      <c r="E110" s="1">
        <v>62</v>
      </c>
      <c r="F110" s="1">
        <v>73</v>
      </c>
      <c r="G110" s="1">
        <v>111</v>
      </c>
      <c r="H110" s="1">
        <v>136</v>
      </c>
      <c r="I110" s="1">
        <v>176</v>
      </c>
      <c r="J110" s="1">
        <v>193</v>
      </c>
      <c r="K110" s="1">
        <v>156</v>
      </c>
      <c r="L110" s="1">
        <v>187</v>
      </c>
      <c r="M110" s="1">
        <v>183</v>
      </c>
      <c r="N110" s="1">
        <v>144</v>
      </c>
      <c r="O110" s="1">
        <v>130</v>
      </c>
      <c r="P110" s="1">
        <v>98</v>
      </c>
      <c r="Q110" s="1">
        <v>71</v>
      </c>
      <c r="R110" s="1">
        <v>70</v>
      </c>
      <c r="S110" s="1">
        <v>51</v>
      </c>
      <c r="T110" s="1">
        <v>35</v>
      </c>
      <c r="U110" s="1">
        <v>23</v>
      </c>
      <c r="V110" s="1">
        <v>22</v>
      </c>
      <c r="W110" s="1">
        <v>15</v>
      </c>
      <c r="X110" s="1">
        <v>11</v>
      </c>
      <c r="Y110" s="1">
        <v>6</v>
      </c>
      <c r="Z110" s="1">
        <v>3</v>
      </c>
      <c r="AA110" s="1">
        <v>3</v>
      </c>
      <c r="AB110" s="1">
        <v>0</v>
      </c>
      <c r="AC110" s="1">
        <v>1</v>
      </c>
      <c r="AD110" s="1">
        <v>1</v>
      </c>
      <c r="AE110" s="1">
        <v>1</v>
      </c>
      <c r="AF110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EF92-BCB0-4672-8CDB-C2E6628F5074}">
  <dimension ref="A1:AC110"/>
  <sheetViews>
    <sheetView workbookViewId="0">
      <selection activeCell="D2" sqref="D2:E2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29" width="11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s="1">
        <v>4</v>
      </c>
      <c r="C2" t="s">
        <v>30</v>
      </c>
      <c r="D2" t="s">
        <v>47</v>
      </c>
      <c r="E2">
        <f>AVERAGE(C11:C107)</f>
        <v>40.220738061855698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</row>
    <row r="3" spans="1:29" x14ac:dyDescent="0.35">
      <c r="A3" t="s">
        <v>31</v>
      </c>
      <c r="B3" s="1">
        <v>2000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</row>
    <row r="4" spans="1:29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</row>
    <row r="5" spans="1:29" x14ac:dyDescent="0.35">
      <c r="A5" t="s">
        <v>33</v>
      </c>
      <c r="B5" s="1">
        <v>4000000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</row>
    <row r="6" spans="1:29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</row>
    <row r="7" spans="1:29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</row>
    <row r="8" spans="1:29" x14ac:dyDescent="0.35">
      <c r="A8" s="1">
        <v>0</v>
      </c>
      <c r="B8" s="1">
        <v>1.5746E-2</v>
      </c>
      <c r="C8" s="1">
        <v>2.5099999999999998E-4</v>
      </c>
      <c r="D8" s="1">
        <v>114.897813</v>
      </c>
      <c r="E8" s="1">
        <v>99.817132000000001</v>
      </c>
      <c r="F8" s="1">
        <v>-4.8999999999999998E-3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</row>
    <row r="9" spans="1:29" x14ac:dyDescent="0.35">
      <c r="A9" s="1">
        <v>20</v>
      </c>
      <c r="B9" s="1">
        <v>1.142531</v>
      </c>
      <c r="C9" s="1">
        <v>34.526693999999999</v>
      </c>
      <c r="D9" s="1">
        <v>114.897813</v>
      </c>
      <c r="E9" s="1">
        <v>4.6171930000000003</v>
      </c>
      <c r="F9" s="1">
        <v>-2.3466999999999998E-2</v>
      </c>
      <c r="G9" s="1">
        <v>0.10871699999999999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</row>
    <row r="10" spans="1:29" x14ac:dyDescent="0.35">
      <c r="A10" s="1">
        <v>40</v>
      </c>
      <c r="B10" s="1">
        <v>1.9329689999999999</v>
      </c>
      <c r="C10" s="1">
        <v>52.565435000000001</v>
      </c>
      <c r="D10" s="1">
        <v>114.897813</v>
      </c>
      <c r="E10" s="1">
        <v>-39.057242000000002</v>
      </c>
      <c r="F10" s="1">
        <v>1.172059</v>
      </c>
      <c r="G10" s="1">
        <v>0.13941200000000001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</row>
    <row r="11" spans="1:29" x14ac:dyDescent="0.35">
      <c r="A11" s="1">
        <v>60</v>
      </c>
      <c r="B11" s="1">
        <v>2.570411</v>
      </c>
      <c r="C11" s="1">
        <v>45.212428000000003</v>
      </c>
      <c r="D11" s="1">
        <v>114.897813</v>
      </c>
      <c r="E11" s="1">
        <v>-12.24607</v>
      </c>
      <c r="F11" s="1">
        <v>0.24362</v>
      </c>
      <c r="G11" s="1">
        <v>-0.42262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</row>
    <row r="12" spans="1:29" x14ac:dyDescent="0.35">
      <c r="A12" s="1">
        <v>80</v>
      </c>
      <c r="B12" s="1">
        <v>3.1603520000000001</v>
      </c>
      <c r="C12" s="1">
        <v>39.359789999999997</v>
      </c>
      <c r="D12" s="1">
        <v>114.897813</v>
      </c>
      <c r="E12" s="1">
        <v>7.4955239999999996</v>
      </c>
      <c r="F12" s="1">
        <v>0.73321000000000003</v>
      </c>
      <c r="G12" s="1">
        <v>-2.6294940000000002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</row>
    <row r="13" spans="1:29" x14ac:dyDescent="0.35">
      <c r="A13" s="1">
        <v>100</v>
      </c>
      <c r="B13" s="1">
        <v>3.74613</v>
      </c>
      <c r="C13" s="1">
        <v>40.742719000000001</v>
      </c>
      <c r="D13" s="1">
        <v>114.897813</v>
      </c>
      <c r="E13" s="1">
        <v>-1.2839929999999999</v>
      </c>
      <c r="F13" s="1">
        <v>9.0480000000000005E-2</v>
      </c>
      <c r="G13" s="1">
        <v>1.571032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</row>
    <row r="14" spans="1:29" x14ac:dyDescent="0.35">
      <c r="A14" s="1">
        <v>120</v>
      </c>
      <c r="B14" s="1">
        <v>4.3690619999999996</v>
      </c>
      <c r="C14" s="1">
        <v>44.911631999999997</v>
      </c>
      <c r="D14" s="1">
        <v>114.897813</v>
      </c>
      <c r="E14" s="1">
        <v>-5.4664890000000002</v>
      </c>
      <c r="F14" s="1">
        <v>0.94580900000000001</v>
      </c>
      <c r="G14" s="1">
        <v>-4.7598000000000001E-2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</row>
    <row r="15" spans="1:29" x14ac:dyDescent="0.35">
      <c r="A15" s="1">
        <v>140</v>
      </c>
      <c r="B15" s="1">
        <v>4.9847520000000003</v>
      </c>
      <c r="C15" s="1">
        <v>40.153658999999998</v>
      </c>
      <c r="D15" s="1">
        <v>114.897813</v>
      </c>
      <c r="E15" s="1">
        <v>-3.2605400000000002</v>
      </c>
      <c r="F15" s="1">
        <v>-1.3167580000000001</v>
      </c>
      <c r="G15" s="1">
        <v>2.1185640000000001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</row>
    <row r="16" spans="1:29" x14ac:dyDescent="0.35">
      <c r="A16" s="1">
        <v>160</v>
      </c>
      <c r="B16" s="1">
        <v>5.6541420000000002</v>
      </c>
      <c r="C16" s="1">
        <v>32.716853</v>
      </c>
      <c r="D16" s="1">
        <v>114.897813</v>
      </c>
      <c r="E16" s="1">
        <v>-1.9914229999999999</v>
      </c>
      <c r="F16" s="1">
        <v>-1.561207</v>
      </c>
      <c r="G16" s="1">
        <v>1.082746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</row>
    <row r="17" spans="1:29" x14ac:dyDescent="0.35">
      <c r="A17" s="1">
        <v>180</v>
      </c>
      <c r="B17" s="1">
        <v>6.3014520000000003</v>
      </c>
      <c r="C17" s="1">
        <v>44.868806999999997</v>
      </c>
      <c r="D17" s="1">
        <v>114.897813</v>
      </c>
      <c r="E17" s="1">
        <v>1.8338779999999999</v>
      </c>
      <c r="F17" s="1">
        <v>-2.0365709999999999</v>
      </c>
      <c r="G17" s="1">
        <v>-0.60942200000000002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</row>
    <row r="18" spans="1:29" x14ac:dyDescent="0.35">
      <c r="A18" s="1">
        <v>200</v>
      </c>
      <c r="B18" s="1">
        <v>6.8903679999999996</v>
      </c>
      <c r="C18" s="1">
        <v>43.512787000000003</v>
      </c>
      <c r="D18" s="1">
        <v>114.897813</v>
      </c>
      <c r="E18" s="1">
        <v>3.078846</v>
      </c>
      <c r="F18" s="1">
        <v>0.970024</v>
      </c>
      <c r="G18" s="1">
        <v>1.0221279999999999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</row>
    <row r="19" spans="1:29" x14ac:dyDescent="0.35">
      <c r="A19" s="1">
        <v>220</v>
      </c>
      <c r="B19" s="1">
        <v>7.540985</v>
      </c>
      <c r="C19" s="1">
        <v>41.848858999999997</v>
      </c>
      <c r="D19" s="1">
        <v>114.897813</v>
      </c>
      <c r="E19" s="1">
        <v>-0.176369</v>
      </c>
      <c r="F19" s="1">
        <v>-0.62731999999999999</v>
      </c>
      <c r="G19" s="1">
        <v>-1.8988000000000001E-2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</row>
    <row r="20" spans="1:29" x14ac:dyDescent="0.35">
      <c r="A20" s="1">
        <v>240</v>
      </c>
      <c r="B20" s="1">
        <v>8.1532040000000006</v>
      </c>
      <c r="C20" s="1">
        <v>45.576092000000003</v>
      </c>
      <c r="D20" s="1">
        <v>114.897813</v>
      </c>
      <c r="E20" s="1">
        <v>-0.68268099999999998</v>
      </c>
      <c r="F20" s="1">
        <v>-0.66495199999999999</v>
      </c>
      <c r="G20" s="1">
        <v>-1.4948360000000001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</row>
    <row r="21" spans="1:29" x14ac:dyDescent="0.35">
      <c r="A21" s="1">
        <v>260</v>
      </c>
      <c r="B21" s="1">
        <v>8.7380689999999994</v>
      </c>
      <c r="C21" s="1">
        <v>38.420603</v>
      </c>
      <c r="D21" s="1">
        <v>114.897813</v>
      </c>
      <c r="E21" s="1">
        <v>-0.16786300000000001</v>
      </c>
      <c r="F21" s="1">
        <v>-0.417881</v>
      </c>
      <c r="G21" s="1">
        <v>0.81298300000000001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</row>
    <row r="22" spans="1:29" x14ac:dyDescent="0.35">
      <c r="A22" s="1">
        <v>280</v>
      </c>
      <c r="B22" s="1">
        <v>9.3470800000000001</v>
      </c>
      <c r="C22" s="1">
        <v>37.925288999999999</v>
      </c>
      <c r="D22" s="1">
        <v>114.897813</v>
      </c>
      <c r="E22" s="1">
        <v>-0.92588400000000004</v>
      </c>
      <c r="F22" s="1">
        <v>0.76746599999999998</v>
      </c>
      <c r="G22" s="1">
        <v>0.85826100000000005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</row>
    <row r="23" spans="1:29" x14ac:dyDescent="0.35">
      <c r="A23" s="1">
        <v>300</v>
      </c>
      <c r="B23" s="1">
        <v>9.9493980000000004</v>
      </c>
      <c r="C23" s="1">
        <v>45.454318000000001</v>
      </c>
      <c r="D23" s="1">
        <v>114.897813</v>
      </c>
      <c r="E23" s="1">
        <v>-1.206086</v>
      </c>
      <c r="F23" s="1">
        <v>1.68631</v>
      </c>
      <c r="G23" s="1">
        <v>-1.7913129999999999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</row>
    <row r="24" spans="1:29" x14ac:dyDescent="0.35">
      <c r="A24" s="1">
        <v>320</v>
      </c>
      <c r="B24" s="1">
        <v>10.564242</v>
      </c>
      <c r="C24" s="1">
        <v>38.679110999999999</v>
      </c>
      <c r="D24" s="1">
        <v>114.897813</v>
      </c>
      <c r="E24" s="1">
        <v>-1.0676049999999999</v>
      </c>
      <c r="F24" s="1">
        <v>0.139292</v>
      </c>
      <c r="G24" s="1">
        <v>-0.84787000000000001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</row>
    <row r="25" spans="1:29" x14ac:dyDescent="0.35">
      <c r="A25" s="1">
        <v>340</v>
      </c>
      <c r="B25" s="1">
        <v>11.186510999999999</v>
      </c>
      <c r="C25" s="1">
        <v>39.957942000000003</v>
      </c>
      <c r="D25" s="1">
        <v>114.897813</v>
      </c>
      <c r="E25" s="1">
        <v>-2.519326</v>
      </c>
      <c r="F25" s="1">
        <v>-0.506687</v>
      </c>
      <c r="G25" s="1">
        <v>-0.14733099999999999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</row>
    <row r="26" spans="1:29" x14ac:dyDescent="0.35">
      <c r="A26" s="1">
        <v>360</v>
      </c>
      <c r="B26" s="1">
        <v>11.774944</v>
      </c>
      <c r="C26" s="1">
        <v>40.793252000000003</v>
      </c>
      <c r="D26" s="1">
        <v>114.897813</v>
      </c>
      <c r="E26" s="1">
        <v>-2.7360899999999999</v>
      </c>
      <c r="F26" s="1">
        <v>-1.206893</v>
      </c>
      <c r="G26" s="1">
        <v>-1.8255490000000001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</row>
    <row r="27" spans="1:29" x14ac:dyDescent="0.35">
      <c r="A27" s="1">
        <v>380</v>
      </c>
      <c r="B27" s="1">
        <v>12.418949</v>
      </c>
      <c r="C27" s="1">
        <v>31.084565000000001</v>
      </c>
      <c r="D27" s="1">
        <v>114.897813</v>
      </c>
      <c r="E27" s="1">
        <v>0.71263799999999999</v>
      </c>
      <c r="F27" s="1">
        <v>2.5109849999999998</v>
      </c>
      <c r="G27" s="1">
        <v>1.702529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</row>
    <row r="28" spans="1:29" x14ac:dyDescent="0.35">
      <c r="A28" s="1">
        <v>400</v>
      </c>
      <c r="B28" s="1">
        <v>13.06015</v>
      </c>
      <c r="C28" s="1">
        <v>42.536459000000001</v>
      </c>
      <c r="D28" s="1">
        <v>114.897813</v>
      </c>
      <c r="E28" s="1">
        <v>2.1031309999999999</v>
      </c>
      <c r="F28" s="1">
        <v>1.3354220000000001</v>
      </c>
      <c r="G28" s="1">
        <v>-3.0944609999999999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</row>
    <row r="29" spans="1:29" x14ac:dyDescent="0.35">
      <c r="A29" s="1">
        <v>420</v>
      </c>
      <c r="B29" s="1">
        <v>13.640641</v>
      </c>
      <c r="C29" s="1">
        <v>40.513162000000001</v>
      </c>
      <c r="D29" s="1">
        <v>114.897813</v>
      </c>
      <c r="E29" s="1">
        <v>3.3869220000000002</v>
      </c>
      <c r="F29" s="1">
        <v>-3.8489230000000001</v>
      </c>
      <c r="G29" s="1">
        <v>0.54836799999999997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</row>
    <row r="30" spans="1:29" x14ac:dyDescent="0.35">
      <c r="A30" s="1">
        <v>440</v>
      </c>
      <c r="B30" s="1">
        <v>14.245450999999999</v>
      </c>
      <c r="C30" s="1">
        <v>45.671703999999998</v>
      </c>
      <c r="D30" s="1">
        <v>114.897813</v>
      </c>
      <c r="E30" s="1">
        <v>0.70812699999999995</v>
      </c>
      <c r="F30" s="1">
        <v>-1.6642749999999999</v>
      </c>
      <c r="G30" s="1">
        <v>2.7712000000000001E-2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</row>
    <row r="31" spans="1:29" x14ac:dyDescent="0.35">
      <c r="A31" s="1">
        <v>460</v>
      </c>
      <c r="B31" s="1">
        <v>14.84972</v>
      </c>
      <c r="C31" s="1">
        <v>44.350385000000003</v>
      </c>
      <c r="D31" s="1">
        <v>114.897813</v>
      </c>
      <c r="E31" s="1">
        <v>-0.91029700000000002</v>
      </c>
      <c r="F31" s="1">
        <v>1.0751250000000001</v>
      </c>
      <c r="G31" s="1">
        <v>2.5937939999999999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</row>
    <row r="32" spans="1:29" x14ac:dyDescent="0.35">
      <c r="A32" s="1">
        <v>480</v>
      </c>
      <c r="B32" s="1">
        <v>15.447490999999999</v>
      </c>
      <c r="C32" s="1">
        <v>43.535218999999998</v>
      </c>
      <c r="D32" s="1">
        <v>114.897813</v>
      </c>
      <c r="E32" s="1">
        <v>-1.955584</v>
      </c>
      <c r="F32" s="1">
        <v>1.2502009999999999</v>
      </c>
      <c r="G32" s="1">
        <v>-0.36704599999999998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</row>
    <row r="33" spans="1:29" x14ac:dyDescent="0.35">
      <c r="A33" s="1">
        <v>500</v>
      </c>
      <c r="B33" s="1">
        <v>16.061640000000001</v>
      </c>
      <c r="C33" s="1">
        <v>38.655092000000003</v>
      </c>
      <c r="D33" s="1">
        <v>114.897813</v>
      </c>
      <c r="E33" s="1">
        <v>0.83787199999999995</v>
      </c>
      <c r="F33" s="1">
        <v>1.1888540000000001</v>
      </c>
      <c r="G33" s="1">
        <v>1.0654699999999999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</row>
    <row r="34" spans="1:29" x14ac:dyDescent="0.35">
      <c r="A34" s="1">
        <v>520</v>
      </c>
      <c r="B34" s="1">
        <v>16.634287</v>
      </c>
      <c r="C34" s="1">
        <v>44.739632999999998</v>
      </c>
      <c r="D34" s="1">
        <v>114.897813</v>
      </c>
      <c r="E34" s="1">
        <v>-0.688917</v>
      </c>
      <c r="F34" s="1">
        <v>0.92908900000000005</v>
      </c>
      <c r="G34" s="1">
        <v>1.254278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</row>
    <row r="35" spans="1:29" x14ac:dyDescent="0.35">
      <c r="A35" s="1">
        <v>540</v>
      </c>
      <c r="B35" s="1">
        <v>17.200821000000001</v>
      </c>
      <c r="C35" s="1">
        <v>41.964185000000001</v>
      </c>
      <c r="D35" s="1">
        <v>114.897813</v>
      </c>
      <c r="E35" s="1">
        <v>-0.18825900000000001</v>
      </c>
      <c r="F35" s="1">
        <v>2.3223009999999999</v>
      </c>
      <c r="G35" s="1">
        <v>2.6328680000000002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</row>
    <row r="36" spans="1:29" x14ac:dyDescent="0.35">
      <c r="A36" s="1">
        <v>560</v>
      </c>
      <c r="B36" s="1">
        <v>17.809348</v>
      </c>
      <c r="C36" s="1">
        <v>40.120308000000001</v>
      </c>
      <c r="D36" s="1">
        <v>114.897813</v>
      </c>
      <c r="E36" s="1">
        <v>-0.89845900000000001</v>
      </c>
      <c r="F36" s="1">
        <v>2.7946339999999998</v>
      </c>
      <c r="G36" s="1">
        <v>-3.3032210000000002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</row>
    <row r="37" spans="1:29" x14ac:dyDescent="0.35">
      <c r="A37" s="1">
        <v>580</v>
      </c>
      <c r="B37" s="1">
        <v>18.429748</v>
      </c>
      <c r="C37" s="1">
        <v>42.833582999999997</v>
      </c>
      <c r="D37" s="1">
        <v>114.897813</v>
      </c>
      <c r="E37" s="1">
        <v>0.97077599999999997</v>
      </c>
      <c r="F37" s="1">
        <v>1.588557</v>
      </c>
      <c r="G37" s="1">
        <v>1.1697360000000001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</row>
    <row r="38" spans="1:29" x14ac:dyDescent="0.35">
      <c r="A38" s="1">
        <v>600</v>
      </c>
      <c r="B38" s="1">
        <v>19.008099999999999</v>
      </c>
      <c r="C38" s="1">
        <v>46.101331000000002</v>
      </c>
      <c r="D38" s="1">
        <v>114.897813</v>
      </c>
      <c r="E38" s="1">
        <v>2.7158999999999999E-2</v>
      </c>
      <c r="F38" s="1">
        <v>-0.95084299999999999</v>
      </c>
      <c r="G38" s="1">
        <v>-0.387432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</row>
    <row r="39" spans="1:29" x14ac:dyDescent="0.35">
      <c r="A39" s="1">
        <v>620</v>
      </c>
      <c r="B39" s="1">
        <v>19.596146999999998</v>
      </c>
      <c r="C39" s="1">
        <v>37.925511999999998</v>
      </c>
      <c r="D39" s="1">
        <v>114.897813</v>
      </c>
      <c r="E39" s="1">
        <v>7.5152999999999998E-2</v>
      </c>
      <c r="F39" s="1">
        <v>-0.95099900000000004</v>
      </c>
      <c r="G39" s="1">
        <v>0.546871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</row>
    <row r="40" spans="1:29" x14ac:dyDescent="0.35">
      <c r="A40" s="1">
        <v>640</v>
      </c>
      <c r="B40" s="1">
        <v>20.290642999999999</v>
      </c>
      <c r="C40" s="1">
        <v>46.291490000000003</v>
      </c>
      <c r="D40" s="1">
        <v>114.897813</v>
      </c>
      <c r="E40" s="1">
        <v>-2.0689679999999999</v>
      </c>
      <c r="F40" s="1">
        <v>-0.112183</v>
      </c>
      <c r="G40" s="1">
        <v>8.7383000000000002E-2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</row>
    <row r="41" spans="1:29" x14ac:dyDescent="0.35">
      <c r="A41" s="1">
        <v>660</v>
      </c>
      <c r="B41" s="1">
        <v>20.909627</v>
      </c>
      <c r="C41" s="1">
        <v>39.181522999999999</v>
      </c>
      <c r="D41" s="1">
        <v>114.897813</v>
      </c>
      <c r="E41" s="1">
        <v>1.159994</v>
      </c>
      <c r="F41" s="1">
        <v>-2.8313999999999999E-2</v>
      </c>
      <c r="G41" s="1">
        <v>-2.3850099999999999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</row>
    <row r="42" spans="1:29" x14ac:dyDescent="0.35">
      <c r="A42" s="1">
        <v>680</v>
      </c>
      <c r="B42" s="1">
        <v>21.529890000000002</v>
      </c>
      <c r="C42" s="1">
        <v>44.854584000000003</v>
      </c>
      <c r="D42" s="1">
        <v>114.897813</v>
      </c>
      <c r="E42" s="1">
        <v>0.47068599999999999</v>
      </c>
      <c r="F42" s="1">
        <v>-1.2845299999999999</v>
      </c>
      <c r="G42" s="1">
        <v>1.529258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</row>
    <row r="43" spans="1:29" x14ac:dyDescent="0.35">
      <c r="A43" s="1">
        <v>700</v>
      </c>
      <c r="B43" s="1">
        <v>22.124174</v>
      </c>
      <c r="C43" s="1">
        <v>44.977165999999997</v>
      </c>
      <c r="D43" s="1">
        <v>114.897813</v>
      </c>
      <c r="E43" s="1">
        <v>0.63108200000000003</v>
      </c>
      <c r="F43" s="1">
        <v>-0.79547500000000004</v>
      </c>
      <c r="G43" s="1">
        <v>1.737001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</row>
    <row r="44" spans="1:29" x14ac:dyDescent="0.35">
      <c r="A44" s="1">
        <v>720</v>
      </c>
      <c r="B44" s="1">
        <v>22.736426000000002</v>
      </c>
      <c r="C44" s="1">
        <v>42.777501999999998</v>
      </c>
      <c r="D44" s="1">
        <v>114.897813</v>
      </c>
      <c r="E44" s="1">
        <v>1.115243</v>
      </c>
      <c r="F44" s="1">
        <v>0.37698700000000002</v>
      </c>
      <c r="G44" s="1">
        <v>-0.230014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</row>
    <row r="45" spans="1:29" x14ac:dyDescent="0.35">
      <c r="A45" s="1">
        <v>740</v>
      </c>
      <c r="B45" s="1">
        <v>23.336853999999999</v>
      </c>
      <c r="C45" s="1">
        <v>44.787317000000002</v>
      </c>
      <c r="D45" s="1">
        <v>114.897813</v>
      </c>
      <c r="E45" s="1">
        <v>-0.137127</v>
      </c>
      <c r="F45" s="1">
        <v>1.193649</v>
      </c>
      <c r="G45" s="1">
        <v>0.27903299999999998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</row>
    <row r="46" spans="1:29" x14ac:dyDescent="0.35">
      <c r="A46" s="1">
        <v>760</v>
      </c>
      <c r="B46" s="1">
        <v>24.017814999999999</v>
      </c>
      <c r="C46" s="1">
        <v>27.822780000000002</v>
      </c>
      <c r="D46" s="1">
        <v>114.897813</v>
      </c>
      <c r="E46" s="1">
        <v>0.25671899999999997</v>
      </c>
      <c r="F46" s="1">
        <v>-7.0368E-2</v>
      </c>
      <c r="G46" s="1">
        <v>0.55898199999999998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</row>
    <row r="47" spans="1:29" x14ac:dyDescent="0.35">
      <c r="A47" s="1">
        <v>780</v>
      </c>
      <c r="B47" s="1">
        <v>24.826685999999999</v>
      </c>
      <c r="C47" s="1">
        <v>29.101716</v>
      </c>
      <c r="D47" s="1">
        <v>114.897813</v>
      </c>
      <c r="E47" s="1">
        <v>1.0277130000000001</v>
      </c>
      <c r="F47" s="1">
        <v>-0.87574600000000002</v>
      </c>
      <c r="G47" s="1">
        <v>-0.94063099999999999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</row>
    <row r="48" spans="1:29" x14ac:dyDescent="0.35">
      <c r="A48" s="1">
        <v>800</v>
      </c>
      <c r="B48" s="1">
        <v>25.638352999999999</v>
      </c>
      <c r="C48" s="1">
        <v>29.504290000000001</v>
      </c>
      <c r="D48" s="1">
        <v>114.897813</v>
      </c>
      <c r="E48" s="1">
        <v>0.92539000000000005</v>
      </c>
      <c r="F48" s="1">
        <v>-2.124349</v>
      </c>
      <c r="G48" s="1">
        <v>0.58702699999999997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</row>
    <row r="49" spans="1:29" x14ac:dyDescent="0.35">
      <c r="A49" s="1">
        <v>820</v>
      </c>
      <c r="B49" s="1">
        <v>26.378989000000001</v>
      </c>
      <c r="C49" s="1">
        <v>37.734881000000001</v>
      </c>
      <c r="D49" s="1">
        <v>114.897813</v>
      </c>
      <c r="E49" s="1">
        <v>-0.52666000000000002</v>
      </c>
      <c r="F49" s="1">
        <v>-0.61605799999999999</v>
      </c>
      <c r="G49" s="1">
        <v>0.73298600000000003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</row>
    <row r="50" spans="1:29" x14ac:dyDescent="0.35">
      <c r="A50" s="1">
        <v>840</v>
      </c>
      <c r="B50" s="1">
        <v>27.192898</v>
      </c>
      <c r="C50" s="1">
        <v>37.37341</v>
      </c>
      <c r="D50" s="1">
        <v>114.897813</v>
      </c>
      <c r="E50" s="1">
        <v>-1.7083079999999999</v>
      </c>
      <c r="F50" s="1">
        <v>2.097178</v>
      </c>
      <c r="G50" s="1">
        <v>0.31906099999999998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</row>
    <row r="51" spans="1:29" x14ac:dyDescent="0.35">
      <c r="A51" s="1">
        <v>860</v>
      </c>
      <c r="B51" s="1">
        <v>27.953896</v>
      </c>
      <c r="C51" s="1">
        <v>34.70431</v>
      </c>
      <c r="D51" s="1">
        <v>114.897813</v>
      </c>
      <c r="E51" s="1">
        <v>-3.2864490000000002</v>
      </c>
      <c r="F51" s="1">
        <v>3.596892</v>
      </c>
      <c r="G51" s="1">
        <v>0.54637599999999997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</row>
    <row r="52" spans="1:29" x14ac:dyDescent="0.35">
      <c r="A52" s="1">
        <v>880</v>
      </c>
      <c r="B52" s="1">
        <v>28.654008000000001</v>
      </c>
      <c r="C52" s="1">
        <v>42.009582000000002</v>
      </c>
      <c r="D52" s="1">
        <v>114.897813</v>
      </c>
      <c r="E52" s="1">
        <v>-1.00413</v>
      </c>
      <c r="F52" s="1">
        <v>1.147133</v>
      </c>
      <c r="G52" s="1">
        <v>-2.1923849999999998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</row>
    <row r="53" spans="1:29" x14ac:dyDescent="0.35">
      <c r="A53" s="1">
        <v>900</v>
      </c>
      <c r="B53" s="1">
        <v>29.333998999999999</v>
      </c>
      <c r="C53" s="1">
        <v>37.620738000000003</v>
      </c>
      <c r="D53" s="1">
        <v>114.897813</v>
      </c>
      <c r="E53" s="1">
        <v>3.0359579999999999</v>
      </c>
      <c r="F53" s="1">
        <v>-1.010318</v>
      </c>
      <c r="G53" s="1">
        <v>-0.43836199999999997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</row>
    <row r="54" spans="1:29" x14ac:dyDescent="0.35">
      <c r="A54" s="1">
        <v>920</v>
      </c>
      <c r="B54" s="1">
        <v>29.939188000000001</v>
      </c>
      <c r="C54" s="1">
        <v>38.952305000000003</v>
      </c>
      <c r="D54" s="1">
        <v>114.897813</v>
      </c>
      <c r="E54" s="1">
        <v>3.5855009999999998</v>
      </c>
      <c r="F54" s="1">
        <v>-1.5716920000000001</v>
      </c>
      <c r="G54" s="1">
        <v>1.413818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</row>
    <row r="55" spans="1:29" x14ac:dyDescent="0.35">
      <c r="A55" s="1">
        <v>940</v>
      </c>
      <c r="B55" s="1">
        <v>30.546474</v>
      </c>
      <c r="C55" s="1">
        <v>36.566217000000002</v>
      </c>
      <c r="D55" s="1">
        <v>114.897813</v>
      </c>
      <c r="E55" s="1">
        <v>2.1328930000000001</v>
      </c>
      <c r="F55" s="1">
        <v>0.18996199999999999</v>
      </c>
      <c r="G55" s="1">
        <v>1.7510490000000001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</row>
    <row r="56" spans="1:29" x14ac:dyDescent="0.35">
      <c r="A56" s="1">
        <v>960</v>
      </c>
      <c r="B56" s="1">
        <v>31.154240000000001</v>
      </c>
      <c r="C56" s="1">
        <v>37.732314000000002</v>
      </c>
      <c r="D56" s="1">
        <v>114.897813</v>
      </c>
      <c r="E56" s="1">
        <v>-0.38150800000000001</v>
      </c>
      <c r="F56" s="1">
        <v>0.87440099999999998</v>
      </c>
      <c r="G56" s="1">
        <v>-7.3241000000000001E-2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</row>
    <row r="57" spans="1:29" x14ac:dyDescent="0.35">
      <c r="A57" s="1">
        <v>980</v>
      </c>
      <c r="B57" s="1">
        <v>31.760037000000001</v>
      </c>
      <c r="C57" s="1">
        <v>38.562691000000001</v>
      </c>
      <c r="D57" s="1">
        <v>114.897813</v>
      </c>
      <c r="E57" s="1">
        <v>-2.3963709999999998</v>
      </c>
      <c r="F57" s="1">
        <v>0.98624900000000004</v>
      </c>
      <c r="G57" s="1">
        <v>0.54346300000000003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</row>
    <row r="58" spans="1:29" x14ac:dyDescent="0.35">
      <c r="A58" s="1">
        <v>1000</v>
      </c>
      <c r="B58" s="1">
        <v>32.351584000000003</v>
      </c>
      <c r="C58" s="1">
        <v>38.158684999999998</v>
      </c>
      <c r="D58" s="1">
        <v>114.897813</v>
      </c>
      <c r="E58" s="1">
        <v>-1.355828</v>
      </c>
      <c r="F58" s="1">
        <v>0.64432400000000001</v>
      </c>
      <c r="G58" s="1">
        <v>-1.5504260000000001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</row>
    <row r="59" spans="1:29" x14ac:dyDescent="0.35">
      <c r="A59" s="1">
        <v>1020</v>
      </c>
      <c r="B59" s="1">
        <v>32.961002000000001</v>
      </c>
      <c r="C59" s="1">
        <v>44.402751000000002</v>
      </c>
      <c r="D59" s="1">
        <v>114.897813</v>
      </c>
      <c r="E59" s="1">
        <v>0.57715799999999995</v>
      </c>
      <c r="F59" s="1">
        <v>0.87625600000000003</v>
      </c>
      <c r="G59" s="1">
        <v>-2.2284060000000001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</row>
    <row r="60" spans="1:29" x14ac:dyDescent="0.35">
      <c r="A60" s="1">
        <v>1040</v>
      </c>
      <c r="B60" s="1">
        <v>33.552013000000002</v>
      </c>
      <c r="C60" s="1">
        <v>40.170029</v>
      </c>
      <c r="D60" s="1">
        <v>114.897813</v>
      </c>
      <c r="E60" s="1">
        <v>2.1202540000000001</v>
      </c>
      <c r="F60" s="1">
        <v>1.569529</v>
      </c>
      <c r="G60" s="1">
        <v>-0.74123000000000006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</row>
    <row r="61" spans="1:29" x14ac:dyDescent="0.35">
      <c r="A61" s="1">
        <v>1060</v>
      </c>
      <c r="B61" s="1">
        <v>34.125281999999999</v>
      </c>
      <c r="C61" s="1">
        <v>43.980679000000002</v>
      </c>
      <c r="D61" s="1">
        <v>114.897813</v>
      </c>
      <c r="E61" s="1">
        <v>1.286465</v>
      </c>
      <c r="F61" s="1">
        <v>0.17358599999999999</v>
      </c>
      <c r="G61" s="1">
        <v>1.4507570000000001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</row>
    <row r="62" spans="1:29" x14ac:dyDescent="0.35">
      <c r="A62" s="1">
        <v>1080</v>
      </c>
      <c r="B62" s="1">
        <v>34.740012999999998</v>
      </c>
      <c r="C62" s="1">
        <v>38.732644000000001</v>
      </c>
      <c r="D62" s="1">
        <v>114.897813</v>
      </c>
      <c r="E62" s="1">
        <v>-1.452696</v>
      </c>
      <c r="F62" s="1">
        <v>-0.257772</v>
      </c>
      <c r="G62" s="1">
        <v>0.62503500000000001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</row>
    <row r="63" spans="1:29" x14ac:dyDescent="0.35">
      <c r="A63" s="1">
        <v>1100</v>
      </c>
      <c r="B63" s="1">
        <v>35.346235999999998</v>
      </c>
      <c r="C63" s="1">
        <v>32.013953000000001</v>
      </c>
      <c r="D63" s="1">
        <v>114.897813</v>
      </c>
      <c r="E63" s="1">
        <v>-2.630735</v>
      </c>
      <c r="F63" s="1">
        <v>0.42135600000000001</v>
      </c>
      <c r="G63" s="1">
        <v>1.5941289999999999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</row>
    <row r="64" spans="1:29" x14ac:dyDescent="0.35">
      <c r="A64" s="1">
        <v>1120</v>
      </c>
      <c r="B64" s="1">
        <v>36.076849000000003</v>
      </c>
      <c r="C64" s="1">
        <v>36.962794000000002</v>
      </c>
      <c r="D64" s="1">
        <v>114.897813</v>
      </c>
      <c r="E64" s="1">
        <v>1.2421450000000001</v>
      </c>
      <c r="F64" s="1">
        <v>-0.945936</v>
      </c>
      <c r="G64" s="1">
        <v>-0.55155299999999996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</row>
    <row r="65" spans="1:29" x14ac:dyDescent="0.35">
      <c r="A65" s="1">
        <v>1140</v>
      </c>
      <c r="B65" s="1">
        <v>36.696581999999999</v>
      </c>
      <c r="C65" s="1">
        <v>39.929675000000003</v>
      </c>
      <c r="D65" s="1">
        <v>114.897813</v>
      </c>
      <c r="E65" s="1">
        <v>2.1111810000000002</v>
      </c>
      <c r="F65" s="1">
        <v>-0.812473</v>
      </c>
      <c r="G65" s="1">
        <v>0.24829999999999999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</row>
    <row r="66" spans="1:29" x14ac:dyDescent="0.35">
      <c r="A66" s="1">
        <v>1160</v>
      </c>
      <c r="B66" s="1">
        <v>37.288690000000003</v>
      </c>
      <c r="C66" s="1">
        <v>43.353045000000002</v>
      </c>
      <c r="D66" s="1">
        <v>114.897813</v>
      </c>
      <c r="E66" s="1">
        <v>3.4400240000000002</v>
      </c>
      <c r="F66" s="1">
        <v>-1.857E-2</v>
      </c>
      <c r="G66" s="1">
        <v>0.69539200000000001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</row>
    <row r="67" spans="1:29" x14ac:dyDescent="0.35">
      <c r="A67" s="1">
        <v>1180</v>
      </c>
      <c r="B67" s="1">
        <v>37.922618</v>
      </c>
      <c r="C67" s="1">
        <v>37.769353000000002</v>
      </c>
      <c r="D67" s="1">
        <v>114.897813</v>
      </c>
      <c r="E67" s="1">
        <v>1.296109</v>
      </c>
      <c r="F67" s="1">
        <v>0.31021199999999999</v>
      </c>
      <c r="G67" s="1">
        <v>-1.004141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</row>
    <row r="68" spans="1:29" x14ac:dyDescent="0.35">
      <c r="A68" s="1">
        <v>1200</v>
      </c>
      <c r="B68" s="1">
        <v>38.512447000000002</v>
      </c>
      <c r="C68" s="1">
        <v>36.192084999999999</v>
      </c>
      <c r="D68" s="1">
        <v>114.897813</v>
      </c>
      <c r="E68" s="1">
        <v>-0.116551</v>
      </c>
      <c r="F68" s="1">
        <v>-0.15180099999999999</v>
      </c>
      <c r="G68" s="1">
        <v>1.9837959999999999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</row>
    <row r="69" spans="1:29" x14ac:dyDescent="0.35">
      <c r="A69" s="1">
        <v>1220</v>
      </c>
      <c r="B69" s="1">
        <v>39.134526000000001</v>
      </c>
      <c r="C69" s="1">
        <v>42.977198999999999</v>
      </c>
      <c r="D69" s="1">
        <v>114.897813</v>
      </c>
      <c r="E69" s="1">
        <v>-1.940545</v>
      </c>
      <c r="F69" s="1">
        <v>-1.7907329999999999</v>
      </c>
      <c r="G69" s="1">
        <v>0.77273599999999998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</row>
    <row r="70" spans="1:29" x14ac:dyDescent="0.35">
      <c r="A70" s="1">
        <v>1240</v>
      </c>
      <c r="B70" s="1">
        <v>39.791572000000002</v>
      </c>
      <c r="C70" s="1">
        <v>39.815539000000001</v>
      </c>
      <c r="D70" s="1">
        <v>114.897813</v>
      </c>
      <c r="E70" s="1">
        <v>-0.87442699999999995</v>
      </c>
      <c r="F70" s="1">
        <v>-2.885303</v>
      </c>
      <c r="G70" s="1">
        <v>-1.1023309999999999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</row>
    <row r="71" spans="1:29" x14ac:dyDescent="0.35">
      <c r="A71" s="1">
        <v>1260</v>
      </c>
      <c r="B71" s="1">
        <v>40.388990999999997</v>
      </c>
      <c r="C71" s="1">
        <v>45.011498000000003</v>
      </c>
      <c r="D71" s="1">
        <v>114.897813</v>
      </c>
      <c r="E71" s="1">
        <v>-2.1848160000000001</v>
      </c>
      <c r="F71" s="1">
        <v>-2.487603</v>
      </c>
      <c r="G71" s="1">
        <v>1.1838420000000001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</row>
    <row r="72" spans="1:29" x14ac:dyDescent="0.35">
      <c r="A72" s="1">
        <v>1280</v>
      </c>
      <c r="B72" s="1">
        <v>41.005505999999997</v>
      </c>
      <c r="C72" s="1">
        <v>44.278995000000002</v>
      </c>
      <c r="D72" s="1">
        <v>114.897813</v>
      </c>
      <c r="E72" s="1">
        <v>2.0390510000000002</v>
      </c>
      <c r="F72" s="1">
        <v>2.1784840000000001</v>
      </c>
      <c r="G72" s="1">
        <v>-1.3830910000000001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</row>
    <row r="73" spans="1:29" x14ac:dyDescent="0.35">
      <c r="A73" s="1">
        <v>1300</v>
      </c>
      <c r="B73" s="1">
        <v>41.576723999999999</v>
      </c>
      <c r="C73" s="1">
        <v>42.580083999999999</v>
      </c>
      <c r="D73" s="1">
        <v>114.897813</v>
      </c>
      <c r="E73" s="1">
        <v>0.103449</v>
      </c>
      <c r="F73" s="1">
        <v>1.037504</v>
      </c>
      <c r="G73" s="1">
        <v>-2.1282519999999998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</row>
    <row r="74" spans="1:29" x14ac:dyDescent="0.35">
      <c r="A74" s="1">
        <v>1320</v>
      </c>
      <c r="B74" s="1">
        <v>42.161648999999997</v>
      </c>
      <c r="C74" s="1">
        <v>45.403587000000002</v>
      </c>
      <c r="D74" s="1">
        <v>114.897813</v>
      </c>
      <c r="E74" s="1">
        <v>-1.3666430000000001</v>
      </c>
      <c r="F74" s="1">
        <v>2.3073790000000001</v>
      </c>
      <c r="G74" s="1">
        <v>-1.90649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</row>
    <row r="75" spans="1:29" x14ac:dyDescent="0.35">
      <c r="A75" s="1">
        <v>1340</v>
      </c>
      <c r="B75" s="1">
        <v>42.797750999999998</v>
      </c>
      <c r="C75" s="1">
        <v>38.114922999999997</v>
      </c>
      <c r="D75" s="1">
        <v>114.897813</v>
      </c>
      <c r="E75" s="1">
        <v>-0.85821899999999995</v>
      </c>
      <c r="F75" s="1">
        <v>2.1688719999999999</v>
      </c>
      <c r="G75" s="1">
        <v>0.74231100000000005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</row>
    <row r="76" spans="1:29" x14ac:dyDescent="0.35">
      <c r="A76" s="1">
        <v>1360</v>
      </c>
      <c r="B76" s="1">
        <v>43.405124999999998</v>
      </c>
      <c r="C76" s="1">
        <v>42.645702999999997</v>
      </c>
      <c r="D76" s="1">
        <v>114.897813</v>
      </c>
      <c r="E76" s="1">
        <v>0.80602099999999999</v>
      </c>
      <c r="F76" s="1">
        <v>2.183341</v>
      </c>
      <c r="G76" s="1">
        <v>0.81898800000000005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</row>
    <row r="77" spans="1:29" x14ac:dyDescent="0.35">
      <c r="A77" s="1">
        <v>1380</v>
      </c>
      <c r="B77" s="1">
        <v>44.025480000000002</v>
      </c>
      <c r="C77" s="1">
        <v>43.918151999999999</v>
      </c>
      <c r="D77" s="1">
        <v>114.897813</v>
      </c>
      <c r="E77" s="1">
        <v>1.0480590000000001</v>
      </c>
      <c r="F77" s="1">
        <v>0.147845</v>
      </c>
      <c r="G77" s="1">
        <v>3.2208139999999998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</row>
    <row r="78" spans="1:29" x14ac:dyDescent="0.35">
      <c r="A78" s="1">
        <v>1400</v>
      </c>
      <c r="B78" s="1">
        <v>44.666448000000003</v>
      </c>
      <c r="C78" s="1">
        <v>46.132204999999999</v>
      </c>
      <c r="D78" s="1">
        <v>114.897813</v>
      </c>
      <c r="E78" s="1">
        <v>-1.8317680000000001</v>
      </c>
      <c r="F78" s="1">
        <v>-2.599586</v>
      </c>
      <c r="G78" s="1">
        <v>-0.13946800000000001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</row>
    <row r="79" spans="1:29" x14ac:dyDescent="0.35">
      <c r="A79" s="1">
        <v>1420</v>
      </c>
      <c r="B79" s="1">
        <v>45.275168999999998</v>
      </c>
      <c r="C79" s="1">
        <v>45.714114000000002</v>
      </c>
      <c r="D79" s="1">
        <v>114.897813</v>
      </c>
      <c r="E79" s="1">
        <v>-3.6482540000000001</v>
      </c>
      <c r="F79" s="1">
        <v>-1.0917490000000001</v>
      </c>
      <c r="G79" s="1">
        <v>-1.862031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</row>
    <row r="80" spans="1:29" x14ac:dyDescent="0.35">
      <c r="A80" s="1">
        <v>1440</v>
      </c>
      <c r="B80" s="1">
        <v>45.893797999999997</v>
      </c>
      <c r="C80" s="1">
        <v>44.680647</v>
      </c>
      <c r="D80" s="1">
        <v>114.897813</v>
      </c>
      <c r="E80" s="1">
        <v>-2.595005</v>
      </c>
      <c r="F80" s="1">
        <v>0.37846000000000002</v>
      </c>
      <c r="G80" s="1">
        <v>-0.51269600000000004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</row>
    <row r="81" spans="1:29" x14ac:dyDescent="0.35">
      <c r="A81" s="1">
        <v>1460</v>
      </c>
      <c r="B81" s="1">
        <v>46.512233999999999</v>
      </c>
      <c r="C81" s="1">
        <v>32.408261000000003</v>
      </c>
      <c r="D81" s="1">
        <v>114.897813</v>
      </c>
      <c r="E81" s="1">
        <v>0.64127599999999996</v>
      </c>
      <c r="F81" s="1">
        <v>-0.47516999999999998</v>
      </c>
      <c r="G81" s="1">
        <v>-1.165111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</row>
    <row r="82" spans="1:29" x14ac:dyDescent="0.35">
      <c r="A82" s="1">
        <v>1480</v>
      </c>
      <c r="B82" s="1">
        <v>47.167493</v>
      </c>
      <c r="C82" s="1">
        <v>37.550761999999999</v>
      </c>
      <c r="D82" s="1">
        <v>114.897813</v>
      </c>
      <c r="E82" s="1">
        <v>-4.0598000000000002E-2</v>
      </c>
      <c r="F82" s="1">
        <v>-0.14260400000000001</v>
      </c>
      <c r="G82" s="1">
        <v>1.9916430000000001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</row>
    <row r="83" spans="1:29" x14ac:dyDescent="0.35">
      <c r="A83" s="1">
        <v>1500</v>
      </c>
      <c r="B83" s="1">
        <v>47.799655999999999</v>
      </c>
      <c r="C83" s="1">
        <v>40.367055000000001</v>
      </c>
      <c r="D83" s="1">
        <v>114.897813</v>
      </c>
      <c r="E83" s="1">
        <v>-0.59570400000000001</v>
      </c>
      <c r="F83" s="1">
        <v>1.4431529999999999</v>
      </c>
      <c r="G83" s="1">
        <v>-0.86127200000000004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</row>
    <row r="84" spans="1:29" x14ac:dyDescent="0.35">
      <c r="A84" s="1">
        <v>1520</v>
      </c>
      <c r="B84" s="1">
        <v>48.413466</v>
      </c>
      <c r="C84" s="1">
        <v>43.824841999999997</v>
      </c>
      <c r="D84" s="1">
        <v>114.897813</v>
      </c>
      <c r="E84" s="1">
        <v>1.8086040000000001</v>
      </c>
      <c r="F84" s="1">
        <v>-0.77454599999999996</v>
      </c>
      <c r="G84" s="1">
        <v>1.058935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</row>
    <row r="85" spans="1:29" x14ac:dyDescent="0.35">
      <c r="A85" s="1">
        <v>1540</v>
      </c>
      <c r="B85" s="1">
        <v>49.021445999999997</v>
      </c>
      <c r="C85" s="1">
        <v>38.889792999999997</v>
      </c>
      <c r="D85" s="1">
        <v>114.897813</v>
      </c>
      <c r="E85" s="1">
        <v>-0.401812</v>
      </c>
      <c r="F85" s="1">
        <v>-0.99009999999999998</v>
      </c>
      <c r="G85" s="1">
        <v>-0.63336700000000001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</row>
    <row r="86" spans="1:29" x14ac:dyDescent="0.35">
      <c r="A86" s="1">
        <v>1560</v>
      </c>
      <c r="B86" s="1">
        <v>49.614358000000003</v>
      </c>
      <c r="C86" s="1">
        <v>46.753790000000002</v>
      </c>
      <c r="D86" s="1">
        <v>114.897813</v>
      </c>
      <c r="E86" s="1">
        <v>-3.314206</v>
      </c>
      <c r="F86" s="1">
        <v>-2.3313679999999999</v>
      </c>
      <c r="G86" s="1">
        <v>-0.18140999999999999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</row>
    <row r="87" spans="1:29" x14ac:dyDescent="0.35">
      <c r="A87" s="1">
        <v>1580</v>
      </c>
      <c r="B87" s="1">
        <v>50.223121999999996</v>
      </c>
      <c r="C87" s="1">
        <v>39.704624000000003</v>
      </c>
      <c r="D87" s="1">
        <v>114.897813</v>
      </c>
      <c r="E87" s="1">
        <v>-0.25106099999999998</v>
      </c>
      <c r="F87" s="1">
        <v>-1.1065480000000001</v>
      </c>
      <c r="G87" s="1">
        <v>2.0526239999999998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</row>
    <row r="88" spans="1:29" x14ac:dyDescent="0.35">
      <c r="A88" s="1">
        <v>1600</v>
      </c>
      <c r="B88" s="1">
        <v>50.849367000000001</v>
      </c>
      <c r="C88" s="1">
        <v>42.315452000000001</v>
      </c>
      <c r="D88" s="1">
        <v>114.897813</v>
      </c>
      <c r="E88" s="1">
        <v>3.3863810000000001</v>
      </c>
      <c r="F88" s="1">
        <v>2.593073</v>
      </c>
      <c r="G88" s="1">
        <v>0.55783499999999997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</row>
    <row r="89" spans="1:29" x14ac:dyDescent="0.35">
      <c r="A89" s="1">
        <v>1620</v>
      </c>
      <c r="B89" s="1">
        <v>51.442455000000002</v>
      </c>
      <c r="C89" s="1">
        <v>40.641005</v>
      </c>
      <c r="D89" s="1">
        <v>114.897813</v>
      </c>
      <c r="E89" s="1">
        <v>1.926747</v>
      </c>
      <c r="F89" s="1">
        <v>2.4228420000000002</v>
      </c>
      <c r="G89" s="1">
        <v>1.7662929999999999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</row>
    <row r="90" spans="1:29" x14ac:dyDescent="0.35">
      <c r="A90" s="1">
        <v>1640</v>
      </c>
      <c r="B90" s="1">
        <v>52.030827000000002</v>
      </c>
      <c r="C90" s="1">
        <v>44.368580999999999</v>
      </c>
      <c r="D90" s="1">
        <v>114.897813</v>
      </c>
      <c r="E90" s="1">
        <v>2.97898</v>
      </c>
      <c r="F90" s="1">
        <v>-1.0492300000000001</v>
      </c>
      <c r="G90" s="1">
        <v>0.83093300000000003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</row>
    <row r="91" spans="1:29" x14ac:dyDescent="0.35">
      <c r="A91" s="1">
        <v>1660</v>
      </c>
      <c r="B91" s="1">
        <v>52.641604000000001</v>
      </c>
      <c r="C91" s="1">
        <v>38.000453999999998</v>
      </c>
      <c r="D91" s="1">
        <v>114.897813</v>
      </c>
      <c r="E91" s="1">
        <v>0.337094</v>
      </c>
      <c r="F91" s="1">
        <v>0.44776199999999999</v>
      </c>
      <c r="G91" s="1">
        <v>-2.3228390000000001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</row>
    <row r="92" spans="1:29" x14ac:dyDescent="0.35">
      <c r="A92" s="1">
        <v>1680</v>
      </c>
      <c r="B92" s="1">
        <v>53.250410000000002</v>
      </c>
      <c r="C92" s="1">
        <v>41.388069999999999</v>
      </c>
      <c r="D92" s="1">
        <v>114.897813</v>
      </c>
      <c r="E92" s="1">
        <v>-0.921265</v>
      </c>
      <c r="F92" s="1">
        <v>-0.53165200000000001</v>
      </c>
      <c r="G92" s="1">
        <v>1.0907230000000001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</row>
    <row r="93" spans="1:29" x14ac:dyDescent="0.35">
      <c r="A93" s="1">
        <v>1700</v>
      </c>
      <c r="B93" s="1">
        <v>53.901356999999997</v>
      </c>
      <c r="C93" s="1">
        <v>39.325786999999998</v>
      </c>
      <c r="D93" s="1">
        <v>114.897813</v>
      </c>
      <c r="E93" s="1">
        <v>-2.0025789999999999</v>
      </c>
      <c r="F93" s="1">
        <v>-0.47334799999999999</v>
      </c>
      <c r="G93" s="1">
        <v>-0.25003300000000001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</row>
    <row r="94" spans="1:29" x14ac:dyDescent="0.35">
      <c r="A94" s="1">
        <v>1720</v>
      </c>
      <c r="B94" s="1">
        <v>54.526088999999999</v>
      </c>
      <c r="C94" s="1">
        <v>42.813082000000001</v>
      </c>
      <c r="D94" s="1">
        <v>114.897813</v>
      </c>
      <c r="E94" s="1">
        <v>-0.59280999999999995</v>
      </c>
      <c r="F94" s="1">
        <v>-0.45578800000000003</v>
      </c>
      <c r="G94" s="1">
        <v>-0.59750499999999995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</row>
    <row r="95" spans="1:29" x14ac:dyDescent="0.35">
      <c r="A95" s="1">
        <v>1740</v>
      </c>
      <c r="B95" s="1">
        <v>55.110894999999999</v>
      </c>
      <c r="C95" s="1">
        <v>46.916271000000002</v>
      </c>
      <c r="D95" s="1">
        <v>114.897813</v>
      </c>
      <c r="E95" s="1">
        <v>1.3614299999999999</v>
      </c>
      <c r="F95" s="1">
        <v>-0.90650600000000003</v>
      </c>
      <c r="G95" s="1">
        <v>-3.269949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</row>
    <row r="96" spans="1:29" x14ac:dyDescent="0.35">
      <c r="A96" s="1">
        <v>1760</v>
      </c>
      <c r="B96" s="1">
        <v>55.709814000000001</v>
      </c>
      <c r="C96" s="1">
        <v>37.653841999999997</v>
      </c>
      <c r="D96" s="1">
        <v>114.897813</v>
      </c>
      <c r="E96" s="1">
        <v>3.2294049999999999</v>
      </c>
      <c r="F96" s="1">
        <v>1.432412</v>
      </c>
      <c r="G96" s="1">
        <v>1.3779710000000001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</row>
    <row r="97" spans="1:29" x14ac:dyDescent="0.35">
      <c r="A97" s="1">
        <v>1780</v>
      </c>
      <c r="B97" s="1">
        <v>56.314858000000001</v>
      </c>
      <c r="C97" s="1">
        <v>35.754609000000002</v>
      </c>
      <c r="D97" s="1">
        <v>114.897813</v>
      </c>
      <c r="E97" s="1">
        <v>-0.59889599999999998</v>
      </c>
      <c r="F97" s="1">
        <v>-1.221357</v>
      </c>
      <c r="G97" s="1">
        <v>0.186114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</row>
    <row r="98" spans="1:29" x14ac:dyDescent="0.35">
      <c r="A98" s="1">
        <v>1800</v>
      </c>
      <c r="B98" s="1">
        <v>56.932250000000003</v>
      </c>
      <c r="C98" s="1">
        <v>41.303337999999997</v>
      </c>
      <c r="D98" s="1">
        <v>114.897813</v>
      </c>
      <c r="E98" s="1">
        <v>-1.871651</v>
      </c>
      <c r="F98" s="1">
        <v>-0.91604200000000002</v>
      </c>
      <c r="G98" s="1">
        <v>2.486856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</row>
    <row r="99" spans="1:29" x14ac:dyDescent="0.35">
      <c r="A99" s="1">
        <v>1820</v>
      </c>
      <c r="B99" s="1">
        <v>57.549180999999997</v>
      </c>
      <c r="C99" s="1">
        <v>35.693896000000002</v>
      </c>
      <c r="D99" s="1">
        <v>114.897813</v>
      </c>
      <c r="E99" s="1">
        <v>0.56815899999999997</v>
      </c>
      <c r="F99" s="1">
        <v>0.325297</v>
      </c>
      <c r="G99" s="1">
        <v>0.81372199999999995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</row>
    <row r="100" spans="1:29" x14ac:dyDescent="0.35">
      <c r="A100" s="1">
        <v>1840</v>
      </c>
      <c r="B100" s="1">
        <v>58.160913000000001</v>
      </c>
      <c r="C100" s="1">
        <v>43.511662999999999</v>
      </c>
      <c r="D100" s="1">
        <v>114.897813</v>
      </c>
      <c r="E100" s="1">
        <v>1.6342639999999999</v>
      </c>
      <c r="F100" s="1">
        <v>-0.25646400000000003</v>
      </c>
      <c r="G100" s="1">
        <v>-1.828597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</row>
    <row r="101" spans="1:29" x14ac:dyDescent="0.35">
      <c r="A101" s="1">
        <v>1860</v>
      </c>
      <c r="B101" s="1">
        <v>58.791764999999998</v>
      </c>
      <c r="C101" s="1">
        <v>38.015360999999999</v>
      </c>
      <c r="D101" s="1">
        <v>114.897813</v>
      </c>
      <c r="E101" s="1">
        <v>1.3256540000000001</v>
      </c>
      <c r="F101" s="1">
        <v>-0.16372500000000001</v>
      </c>
      <c r="G101" s="1">
        <v>-0.62571299999999996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</row>
    <row r="102" spans="1:29" x14ac:dyDescent="0.35">
      <c r="A102" s="1">
        <v>1880</v>
      </c>
      <c r="B102" s="1">
        <v>59.456375000000001</v>
      </c>
      <c r="C102" s="1">
        <v>33.806522999999999</v>
      </c>
      <c r="D102" s="1">
        <v>114.897813</v>
      </c>
      <c r="E102" s="1">
        <v>-1.4716899999999999</v>
      </c>
      <c r="F102" s="1">
        <v>0.55444499999999997</v>
      </c>
      <c r="G102" s="1">
        <v>-0.28221800000000002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</row>
    <row r="103" spans="1:29" x14ac:dyDescent="0.35">
      <c r="A103" s="1">
        <v>1900</v>
      </c>
      <c r="B103" s="1">
        <v>60.192104999999998</v>
      </c>
      <c r="C103" s="1">
        <v>34.535280999999998</v>
      </c>
      <c r="D103" s="1">
        <v>114.897813</v>
      </c>
      <c r="E103" s="1">
        <v>-0.23579600000000001</v>
      </c>
      <c r="F103" s="1">
        <v>0.63244800000000001</v>
      </c>
      <c r="G103" s="1">
        <v>1.706356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</row>
    <row r="104" spans="1:29" x14ac:dyDescent="0.35">
      <c r="A104" s="1">
        <v>1920</v>
      </c>
      <c r="B104" s="1">
        <v>60.956010999999997</v>
      </c>
      <c r="C104" s="1">
        <v>37.365499</v>
      </c>
      <c r="D104" s="1">
        <v>114.897813</v>
      </c>
      <c r="E104" s="1">
        <v>4.1874000000000001E-2</v>
      </c>
      <c r="F104" s="1">
        <v>1.1254150000000001</v>
      </c>
      <c r="G104" s="1">
        <v>-1.9500360000000001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</row>
    <row r="105" spans="1:29" x14ac:dyDescent="0.35">
      <c r="A105" s="1">
        <v>1940</v>
      </c>
      <c r="B105" s="1">
        <v>61.704974999999997</v>
      </c>
      <c r="C105" s="1">
        <v>34.665984000000002</v>
      </c>
      <c r="D105" s="1">
        <v>114.897813</v>
      </c>
      <c r="E105" s="1">
        <v>1.669994</v>
      </c>
      <c r="F105" s="1">
        <v>-1.2901199999999999</v>
      </c>
      <c r="G105" s="1">
        <v>1.1012329999999999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</row>
    <row r="106" spans="1:29" x14ac:dyDescent="0.35">
      <c r="A106" s="1">
        <v>1960</v>
      </c>
      <c r="B106" s="1">
        <v>62.418070999999998</v>
      </c>
      <c r="C106" s="1">
        <v>29.987881999999999</v>
      </c>
      <c r="D106" s="1">
        <v>114.897813</v>
      </c>
      <c r="E106" s="1">
        <v>0.48216900000000001</v>
      </c>
      <c r="F106" s="1">
        <v>-1.2809200000000001</v>
      </c>
      <c r="G106" s="1">
        <v>-0.66350900000000002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</row>
    <row r="107" spans="1:29" x14ac:dyDescent="0.35">
      <c r="A107" s="1">
        <v>1980</v>
      </c>
      <c r="B107" s="1">
        <v>63.141787999999998</v>
      </c>
      <c r="C107" s="1">
        <v>40.191451000000001</v>
      </c>
      <c r="D107" s="1">
        <v>114.897813</v>
      </c>
      <c r="E107" s="1">
        <v>1.3197449999999999</v>
      </c>
      <c r="F107" s="1">
        <v>0.25537199999999999</v>
      </c>
      <c r="G107" s="1">
        <v>-0.64824700000000002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</row>
    <row r="108" spans="1:29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</row>
    <row r="109" spans="1:29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</row>
    <row r="110" spans="1:29" x14ac:dyDescent="0.35">
      <c r="A110" t="s">
        <v>42</v>
      </c>
      <c r="B110" s="1">
        <v>2</v>
      </c>
      <c r="C110" s="1">
        <v>13</v>
      </c>
      <c r="D110" s="1">
        <v>27</v>
      </c>
      <c r="E110" s="1">
        <v>59</v>
      </c>
      <c r="F110" s="1">
        <v>91</v>
      </c>
      <c r="G110" s="1">
        <v>112</v>
      </c>
      <c r="H110" s="1">
        <v>130</v>
      </c>
      <c r="I110" s="1">
        <v>153</v>
      </c>
      <c r="J110" s="1">
        <v>178</v>
      </c>
      <c r="K110" s="1">
        <v>171</v>
      </c>
      <c r="L110" s="1">
        <v>158</v>
      </c>
      <c r="M110" s="1">
        <v>179</v>
      </c>
      <c r="N110" s="1">
        <v>153</v>
      </c>
      <c r="O110" s="1">
        <v>149</v>
      </c>
      <c r="P110" s="1">
        <v>104</v>
      </c>
      <c r="Q110" s="1">
        <v>98</v>
      </c>
      <c r="R110" s="1">
        <v>68</v>
      </c>
      <c r="S110" s="1">
        <v>49</v>
      </c>
      <c r="T110" s="1">
        <v>38</v>
      </c>
      <c r="U110" s="1">
        <v>10</v>
      </c>
      <c r="V110" s="1">
        <v>23</v>
      </c>
      <c r="W110" s="1">
        <v>14</v>
      </c>
      <c r="X110" s="1">
        <v>7</v>
      </c>
      <c r="Y110" s="1">
        <v>7</v>
      </c>
      <c r="Z110" s="1">
        <v>0</v>
      </c>
      <c r="AA110" s="1">
        <v>4</v>
      </c>
      <c r="AB110" s="1">
        <v>2</v>
      </c>
      <c r="AC110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44A3-F3A0-45E3-9AF6-F6E6AEF7D858}">
  <dimension ref="A1:AG111"/>
  <sheetViews>
    <sheetView workbookViewId="0">
      <selection activeCell="D2" sqref="D2:E2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  <c r="AE1" t="s">
        <v>44</v>
      </c>
      <c r="AF1" t="s">
        <v>45</v>
      </c>
      <c r="AG1" t="s">
        <v>46</v>
      </c>
    </row>
    <row r="2" spans="1:33" x14ac:dyDescent="0.35">
      <c r="A2" t="s">
        <v>29</v>
      </c>
      <c r="B2" s="1">
        <v>3</v>
      </c>
      <c r="C2" t="s">
        <v>30</v>
      </c>
      <c r="D2" t="s">
        <v>47</v>
      </c>
      <c r="E2">
        <f>AVERAGE(C11:C107)</f>
        <v>68.290682505154621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30</v>
      </c>
      <c r="AF2" t="s">
        <v>30</v>
      </c>
      <c r="AG2" t="s">
        <v>30</v>
      </c>
    </row>
    <row r="3" spans="1:33" x14ac:dyDescent="0.35">
      <c r="A3" t="s">
        <v>31</v>
      </c>
      <c r="B3" s="1">
        <v>2000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30</v>
      </c>
    </row>
    <row r="4" spans="1:33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30</v>
      </c>
    </row>
    <row r="5" spans="1:33" x14ac:dyDescent="0.35">
      <c r="A5" t="s">
        <v>33</v>
      </c>
      <c r="B5" s="1">
        <v>2000000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30</v>
      </c>
      <c r="AF5" t="s">
        <v>30</v>
      </c>
      <c r="AG5" t="s">
        <v>30</v>
      </c>
    </row>
    <row r="6" spans="1:33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30</v>
      </c>
      <c r="AF6" t="s">
        <v>30</v>
      </c>
      <c r="AG6" t="s">
        <v>30</v>
      </c>
    </row>
    <row r="7" spans="1:33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30</v>
      </c>
      <c r="AF7" t="s">
        <v>30</v>
      </c>
      <c r="AG7" t="s">
        <v>30</v>
      </c>
    </row>
    <row r="8" spans="1:33" x14ac:dyDescent="0.35">
      <c r="A8" s="1">
        <v>0</v>
      </c>
      <c r="B8" s="1">
        <v>1.1502999999999999E-2</v>
      </c>
      <c r="C8" s="1">
        <v>0</v>
      </c>
      <c r="D8" s="1">
        <v>117.14581800000001</v>
      </c>
      <c r="E8" s="1">
        <v>102.05159500000001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30</v>
      </c>
      <c r="AF8" t="s">
        <v>30</v>
      </c>
      <c r="AG8" t="s">
        <v>30</v>
      </c>
    </row>
    <row r="9" spans="1:33" x14ac:dyDescent="0.35">
      <c r="A9" s="1">
        <v>20</v>
      </c>
      <c r="B9" s="1">
        <v>0.94982200000000006</v>
      </c>
      <c r="C9" s="1">
        <v>69.102148999999997</v>
      </c>
      <c r="D9" s="1">
        <v>117.14581800000001</v>
      </c>
      <c r="E9" s="1">
        <v>5.8595550000000003</v>
      </c>
      <c r="F9" s="1">
        <v>8.4130999999999997E-2</v>
      </c>
      <c r="G9" s="1">
        <v>-0.31999300000000003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30</v>
      </c>
      <c r="AF9" t="s">
        <v>30</v>
      </c>
      <c r="AG9" t="s">
        <v>30</v>
      </c>
    </row>
    <row r="10" spans="1:33" x14ac:dyDescent="0.35">
      <c r="A10" s="1">
        <v>40</v>
      </c>
      <c r="B10" s="1">
        <v>1.6643159999999999</v>
      </c>
      <c r="C10" s="1">
        <v>85.798534000000004</v>
      </c>
      <c r="D10" s="1">
        <v>117.14581800000001</v>
      </c>
      <c r="E10" s="1">
        <v>-32.638261999999997</v>
      </c>
      <c r="F10" s="1">
        <v>0.28193699999999999</v>
      </c>
      <c r="G10" s="1">
        <v>-0.22842599999999999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30</v>
      </c>
      <c r="AF10" t="s">
        <v>30</v>
      </c>
      <c r="AG10" t="s">
        <v>30</v>
      </c>
    </row>
    <row r="11" spans="1:33" x14ac:dyDescent="0.35">
      <c r="A11" s="1">
        <v>60</v>
      </c>
      <c r="B11" s="1">
        <v>2.266877</v>
      </c>
      <c r="C11" s="1">
        <v>88.028885000000002</v>
      </c>
      <c r="D11" s="1">
        <v>117.14581800000001</v>
      </c>
      <c r="E11" s="1">
        <v>-16.471070000000001</v>
      </c>
      <c r="F11" s="1">
        <v>-0.67032899999999995</v>
      </c>
      <c r="G11" s="1">
        <v>-0.54389500000000002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30</v>
      </c>
    </row>
    <row r="12" spans="1:33" x14ac:dyDescent="0.35">
      <c r="A12" s="1">
        <v>80</v>
      </c>
      <c r="B12" s="1">
        <v>2.8206060000000002</v>
      </c>
      <c r="C12" s="1">
        <v>72.526820000000001</v>
      </c>
      <c r="D12" s="1">
        <v>117.14581800000001</v>
      </c>
      <c r="E12" s="1">
        <v>-1.5168680000000001</v>
      </c>
      <c r="F12" s="1">
        <v>-1.2571570000000001</v>
      </c>
      <c r="G12" s="1">
        <v>0.96685200000000004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  <c r="AF12" t="s">
        <v>30</v>
      </c>
      <c r="AG12" t="s">
        <v>30</v>
      </c>
    </row>
    <row r="13" spans="1:33" x14ac:dyDescent="0.35">
      <c r="A13" s="1">
        <v>100</v>
      </c>
      <c r="B13" s="1">
        <v>3.3937179999999998</v>
      </c>
      <c r="C13" s="1">
        <v>75.230635000000007</v>
      </c>
      <c r="D13" s="1">
        <v>117.14581800000001</v>
      </c>
      <c r="E13" s="1">
        <v>-3.7009560000000001</v>
      </c>
      <c r="F13" s="1">
        <v>0.65143600000000002</v>
      </c>
      <c r="G13" s="1">
        <v>0.68926900000000002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30</v>
      </c>
    </row>
    <row r="14" spans="1:33" x14ac:dyDescent="0.35">
      <c r="A14" s="1">
        <v>120</v>
      </c>
      <c r="B14" s="1">
        <v>3.9504160000000001</v>
      </c>
      <c r="C14" s="1">
        <v>75.696194000000006</v>
      </c>
      <c r="D14" s="1">
        <v>117.14581800000001</v>
      </c>
      <c r="E14" s="1">
        <v>-5.2164729999999997</v>
      </c>
      <c r="F14" s="1">
        <v>0.37701000000000001</v>
      </c>
      <c r="G14" s="1">
        <v>-0.82614100000000001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  <c r="AF14" t="s">
        <v>30</v>
      </c>
      <c r="AG14" t="s">
        <v>30</v>
      </c>
    </row>
    <row r="15" spans="1:33" x14ac:dyDescent="0.35">
      <c r="A15" s="1">
        <v>140</v>
      </c>
      <c r="B15" s="1">
        <v>4.5222949999999997</v>
      </c>
      <c r="C15" s="1">
        <v>75.566659000000001</v>
      </c>
      <c r="D15" s="1">
        <v>117.14581800000001</v>
      </c>
      <c r="E15" s="1">
        <v>-1.7151879999999999</v>
      </c>
      <c r="F15" s="1">
        <v>-1.138727</v>
      </c>
      <c r="G15" s="1">
        <v>-0.18013100000000001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30</v>
      </c>
    </row>
    <row r="16" spans="1:33" x14ac:dyDescent="0.35">
      <c r="A16" s="1">
        <v>160</v>
      </c>
      <c r="B16" s="1">
        <v>5.0860890000000003</v>
      </c>
      <c r="C16" s="1">
        <v>70.065308999999999</v>
      </c>
      <c r="D16" s="1">
        <v>117.14581800000001</v>
      </c>
      <c r="E16" s="1">
        <v>1.8882680000000001</v>
      </c>
      <c r="F16" s="1">
        <v>-2.662995</v>
      </c>
      <c r="G16" s="1">
        <v>1.1951909999999999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  <c r="AF16" t="s">
        <v>30</v>
      </c>
      <c r="AG16" t="s">
        <v>30</v>
      </c>
    </row>
    <row r="17" spans="1:33" x14ac:dyDescent="0.35">
      <c r="A17" s="1">
        <v>180</v>
      </c>
      <c r="B17" s="1">
        <v>5.6751389999999997</v>
      </c>
      <c r="C17" s="1">
        <v>64.170534000000004</v>
      </c>
      <c r="D17" s="1">
        <v>117.14581800000001</v>
      </c>
      <c r="E17" s="1">
        <v>6.7354999999999998E-2</v>
      </c>
      <c r="F17" s="1">
        <v>1.855156</v>
      </c>
      <c r="G17" s="1">
        <v>1.727098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30</v>
      </c>
    </row>
    <row r="18" spans="1:33" x14ac:dyDescent="0.35">
      <c r="A18" s="1">
        <v>200</v>
      </c>
      <c r="B18" s="1">
        <v>6.3160220000000002</v>
      </c>
      <c r="C18" s="1">
        <v>71.726534000000001</v>
      </c>
      <c r="D18" s="1">
        <v>117.14581800000001</v>
      </c>
      <c r="E18" s="1">
        <v>0.54988499999999996</v>
      </c>
      <c r="F18" s="1">
        <v>2.8313860000000002</v>
      </c>
      <c r="G18" s="1">
        <v>0.84860100000000005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  <c r="AE18" t="s">
        <v>30</v>
      </c>
      <c r="AF18" t="s">
        <v>30</v>
      </c>
      <c r="AG18" t="s">
        <v>30</v>
      </c>
    </row>
    <row r="19" spans="1:33" x14ac:dyDescent="0.35">
      <c r="A19" s="1">
        <v>220</v>
      </c>
      <c r="B19" s="1">
        <v>6.9099709999999996</v>
      </c>
      <c r="C19" s="1">
        <v>61.785584999999998</v>
      </c>
      <c r="D19" s="1">
        <v>117.14581800000001</v>
      </c>
      <c r="E19" s="1">
        <v>1.40767</v>
      </c>
      <c r="F19" s="1">
        <v>-1.1469290000000001</v>
      </c>
      <c r="G19" s="1">
        <v>1.0201100000000001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t="s">
        <v>30</v>
      </c>
      <c r="AG19" t="s">
        <v>30</v>
      </c>
    </row>
    <row r="20" spans="1:33" x14ac:dyDescent="0.35">
      <c r="A20" s="1">
        <v>240</v>
      </c>
      <c r="B20" s="1">
        <v>7.4744549999999998</v>
      </c>
      <c r="C20" s="1">
        <v>76.201789000000005</v>
      </c>
      <c r="D20" s="1">
        <v>117.14581800000001</v>
      </c>
      <c r="E20" s="1">
        <v>0.25123400000000001</v>
      </c>
      <c r="F20" s="1">
        <v>5.0339000000000002E-2</v>
      </c>
      <c r="G20" s="1">
        <v>-0.66289600000000004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  <c r="AE20" t="s">
        <v>30</v>
      </c>
      <c r="AF20" t="s">
        <v>30</v>
      </c>
      <c r="AG20" t="s">
        <v>30</v>
      </c>
    </row>
    <row r="21" spans="1:33" x14ac:dyDescent="0.35">
      <c r="A21" s="1">
        <v>260</v>
      </c>
      <c r="B21" s="1">
        <v>8.0558739999999993</v>
      </c>
      <c r="C21" s="1">
        <v>77.896697000000003</v>
      </c>
      <c r="D21" s="1">
        <v>117.14581800000001</v>
      </c>
      <c r="E21" s="1">
        <v>0.16442799999999999</v>
      </c>
      <c r="F21" s="1">
        <v>-0.32326899999999997</v>
      </c>
      <c r="G21" s="1">
        <v>-1.713884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t="s">
        <v>30</v>
      </c>
      <c r="AG21" t="s">
        <v>30</v>
      </c>
    </row>
    <row r="22" spans="1:33" x14ac:dyDescent="0.35">
      <c r="A22" s="1">
        <v>280</v>
      </c>
      <c r="B22" s="1">
        <v>8.6159300000000005</v>
      </c>
      <c r="C22" s="1">
        <v>78.438633999999993</v>
      </c>
      <c r="D22" s="1">
        <v>117.14581800000001</v>
      </c>
      <c r="E22" s="1">
        <v>-1.7086239999999999</v>
      </c>
      <c r="F22" s="1">
        <v>-0.28785300000000003</v>
      </c>
      <c r="G22" s="1">
        <v>0.73380199999999995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  <c r="AE22" t="s">
        <v>30</v>
      </c>
      <c r="AF22" t="s">
        <v>30</v>
      </c>
      <c r="AG22" t="s">
        <v>30</v>
      </c>
    </row>
    <row r="23" spans="1:33" x14ac:dyDescent="0.35">
      <c r="A23" s="1">
        <v>300</v>
      </c>
      <c r="B23" s="1">
        <v>9.1641349999999999</v>
      </c>
      <c r="C23" s="1">
        <v>77.520480000000006</v>
      </c>
      <c r="D23" s="1">
        <v>117.14581800000001</v>
      </c>
      <c r="E23" s="1">
        <v>-0.95322300000000004</v>
      </c>
      <c r="F23" s="1">
        <v>6.3303999999999999E-2</v>
      </c>
      <c r="G23" s="1">
        <v>-2.0412E-2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  <c r="AG23" t="s">
        <v>30</v>
      </c>
    </row>
    <row r="24" spans="1:33" x14ac:dyDescent="0.35">
      <c r="A24" s="1">
        <v>320</v>
      </c>
      <c r="B24" s="1">
        <v>9.7251349999999999</v>
      </c>
      <c r="C24" s="1">
        <v>69.416109000000006</v>
      </c>
      <c r="D24" s="1">
        <v>117.14581800000001</v>
      </c>
      <c r="E24" s="1">
        <v>-0.36926599999999998</v>
      </c>
      <c r="F24" s="1">
        <v>0.44111099999999998</v>
      </c>
      <c r="G24" s="1">
        <v>-1.3756299999999999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s">
        <v>30</v>
      </c>
      <c r="AF24" t="s">
        <v>30</v>
      </c>
      <c r="AG24" t="s">
        <v>30</v>
      </c>
    </row>
    <row r="25" spans="1:33" x14ac:dyDescent="0.35">
      <c r="A25" s="1">
        <v>340</v>
      </c>
      <c r="B25" s="1">
        <v>10.341438</v>
      </c>
      <c r="C25" s="1">
        <v>64.757621</v>
      </c>
      <c r="D25" s="1">
        <v>117.14581800000001</v>
      </c>
      <c r="E25" s="1">
        <v>0.25582500000000002</v>
      </c>
      <c r="F25" s="1">
        <v>-8.3234000000000002E-2</v>
      </c>
      <c r="G25" s="1">
        <v>-0.234374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t="s">
        <v>30</v>
      </c>
      <c r="AG25" t="s">
        <v>30</v>
      </c>
    </row>
    <row r="26" spans="1:33" x14ac:dyDescent="0.35">
      <c r="A26" s="1">
        <v>360</v>
      </c>
      <c r="B26" s="1">
        <v>10.921687</v>
      </c>
      <c r="C26" s="1">
        <v>55.093251000000002</v>
      </c>
      <c r="D26" s="1">
        <v>117.14581800000001</v>
      </c>
      <c r="E26" s="1">
        <v>-0.85511300000000001</v>
      </c>
      <c r="F26" s="1">
        <v>-0.72463999999999995</v>
      </c>
      <c r="G26" s="1">
        <v>0.92265299999999995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s">
        <v>30</v>
      </c>
      <c r="AF26" t="s">
        <v>30</v>
      </c>
      <c r="AG26" t="s">
        <v>30</v>
      </c>
    </row>
    <row r="27" spans="1:33" x14ac:dyDescent="0.35">
      <c r="A27" s="1">
        <v>380</v>
      </c>
      <c r="B27" s="1">
        <v>11.516120000000001</v>
      </c>
      <c r="C27" s="1">
        <v>68.340928000000005</v>
      </c>
      <c r="D27" s="1">
        <v>117.14581800000001</v>
      </c>
      <c r="E27" s="1">
        <v>-1.6331830000000001</v>
      </c>
      <c r="F27" s="1">
        <v>-1.50979</v>
      </c>
      <c r="G27" s="1">
        <v>0.342499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  <c r="AF27" t="s">
        <v>30</v>
      </c>
      <c r="AG27" t="s">
        <v>30</v>
      </c>
    </row>
    <row r="28" spans="1:33" x14ac:dyDescent="0.35">
      <c r="A28" s="1">
        <v>400</v>
      </c>
      <c r="B28" s="1">
        <v>12.126289</v>
      </c>
      <c r="C28" s="1">
        <v>65.976444000000001</v>
      </c>
      <c r="D28" s="1">
        <v>117.14581800000001</v>
      </c>
      <c r="E28" s="1">
        <v>1.4273229999999999</v>
      </c>
      <c r="F28" s="1">
        <v>1.8160529999999999</v>
      </c>
      <c r="G28" s="1">
        <v>2.6821899999999999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  <c r="AE28" t="s">
        <v>30</v>
      </c>
      <c r="AF28" t="s">
        <v>30</v>
      </c>
      <c r="AG28" t="s">
        <v>30</v>
      </c>
    </row>
    <row r="29" spans="1:33" x14ac:dyDescent="0.35">
      <c r="A29" s="1">
        <v>420</v>
      </c>
      <c r="B29" s="1">
        <v>12.689783</v>
      </c>
      <c r="C29" s="1">
        <v>73.652483000000004</v>
      </c>
      <c r="D29" s="1">
        <v>117.14581800000001</v>
      </c>
      <c r="E29" s="1">
        <v>2.7130359999999998</v>
      </c>
      <c r="F29" s="1">
        <v>-1.2509509999999999</v>
      </c>
      <c r="G29" s="1">
        <v>0.83053600000000005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  <c r="AG29" t="s">
        <v>30</v>
      </c>
    </row>
    <row r="30" spans="1:33" x14ac:dyDescent="0.35">
      <c r="A30" s="1">
        <v>440</v>
      </c>
      <c r="B30" s="1">
        <v>13.253999</v>
      </c>
      <c r="C30" s="1">
        <v>74.733677</v>
      </c>
      <c r="D30" s="1">
        <v>117.14581800000001</v>
      </c>
      <c r="E30" s="1">
        <v>2.2495810000000001</v>
      </c>
      <c r="F30" s="1">
        <v>0.84485600000000005</v>
      </c>
      <c r="G30" s="1">
        <v>-3.3233519999999999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  <c r="AE30" t="s">
        <v>30</v>
      </c>
      <c r="AF30" t="s">
        <v>30</v>
      </c>
      <c r="AG30" t="s">
        <v>30</v>
      </c>
    </row>
    <row r="31" spans="1:33" x14ac:dyDescent="0.35">
      <c r="A31" s="1">
        <v>460</v>
      </c>
      <c r="B31" s="1">
        <v>13.847887999999999</v>
      </c>
      <c r="C31" s="1">
        <v>74.614841999999996</v>
      </c>
      <c r="D31" s="1">
        <v>117.14581800000001</v>
      </c>
      <c r="E31" s="1">
        <v>-0.36334</v>
      </c>
      <c r="F31" s="1">
        <v>0.95173399999999997</v>
      </c>
      <c r="G31" s="1">
        <v>0.49663600000000002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t="s">
        <v>30</v>
      </c>
      <c r="AG31" t="s">
        <v>30</v>
      </c>
    </row>
    <row r="32" spans="1:33" x14ac:dyDescent="0.35">
      <c r="A32" s="1">
        <v>480</v>
      </c>
      <c r="B32" s="1">
        <v>14.415725</v>
      </c>
      <c r="C32" s="1">
        <v>65.911602000000002</v>
      </c>
      <c r="D32" s="1">
        <v>117.14581800000001</v>
      </c>
      <c r="E32" s="1">
        <v>-1.7572989999999999</v>
      </c>
      <c r="F32" s="1">
        <v>0.79273099999999996</v>
      </c>
      <c r="G32" s="1">
        <v>1.2657860000000001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s">
        <v>30</v>
      </c>
      <c r="AF32" t="s">
        <v>30</v>
      </c>
      <c r="AG32" t="s">
        <v>30</v>
      </c>
    </row>
    <row r="33" spans="1:33" x14ac:dyDescent="0.35">
      <c r="A33" s="1">
        <v>500</v>
      </c>
      <c r="B33" s="1">
        <v>15.040818</v>
      </c>
      <c r="C33" s="1">
        <v>75.955062999999996</v>
      </c>
      <c r="D33" s="1">
        <v>117.14581800000001</v>
      </c>
      <c r="E33" s="1">
        <v>0.49072700000000002</v>
      </c>
      <c r="F33" s="1">
        <v>-0.57729799999999998</v>
      </c>
      <c r="G33" s="1">
        <v>-1.775955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t="s">
        <v>30</v>
      </c>
      <c r="AG33" t="s">
        <v>30</v>
      </c>
    </row>
    <row r="34" spans="1:33" x14ac:dyDescent="0.35">
      <c r="A34" s="1">
        <v>520</v>
      </c>
      <c r="B34" s="1">
        <v>15.620651000000001</v>
      </c>
      <c r="C34" s="1">
        <v>65.274726999999999</v>
      </c>
      <c r="D34" s="1">
        <v>117.14581800000001</v>
      </c>
      <c r="E34" s="1">
        <v>0.87047799999999997</v>
      </c>
      <c r="F34" s="1">
        <v>-1.5055890000000001</v>
      </c>
      <c r="G34" s="1">
        <v>-2.3730999999999999E-2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  <c r="AE34" t="s">
        <v>30</v>
      </c>
      <c r="AF34" t="s">
        <v>30</v>
      </c>
      <c r="AG34" t="s">
        <v>30</v>
      </c>
    </row>
    <row r="35" spans="1:33" x14ac:dyDescent="0.35">
      <c r="A35" s="1">
        <v>540</v>
      </c>
      <c r="B35" s="1">
        <v>16.264637</v>
      </c>
      <c r="C35" s="1">
        <v>60.755882</v>
      </c>
      <c r="D35" s="1">
        <v>117.14581800000001</v>
      </c>
      <c r="E35" s="1">
        <v>1.171338</v>
      </c>
      <c r="F35" s="1">
        <v>1.7335670000000001</v>
      </c>
      <c r="G35" s="1">
        <v>1.1963619999999999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t="s">
        <v>30</v>
      </c>
      <c r="AG35" t="s">
        <v>30</v>
      </c>
    </row>
    <row r="36" spans="1:33" x14ac:dyDescent="0.35">
      <c r="A36" s="1">
        <v>560</v>
      </c>
      <c r="B36" s="1">
        <v>16.869757</v>
      </c>
      <c r="C36" s="1">
        <v>64.460121000000001</v>
      </c>
      <c r="D36" s="1">
        <v>117.14581800000001</v>
      </c>
      <c r="E36" s="1">
        <v>-1.0133540000000001</v>
      </c>
      <c r="F36" s="1">
        <v>-0.44738</v>
      </c>
      <c r="G36" s="1">
        <v>-1.6624159999999999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  <c r="AE36" t="s">
        <v>30</v>
      </c>
      <c r="AF36" t="s">
        <v>30</v>
      </c>
      <c r="AG36" t="s">
        <v>30</v>
      </c>
    </row>
    <row r="37" spans="1:33" x14ac:dyDescent="0.35">
      <c r="A37" s="1">
        <v>580</v>
      </c>
      <c r="B37" s="1">
        <v>17.469201000000002</v>
      </c>
      <c r="C37" s="1">
        <v>65.076509000000001</v>
      </c>
      <c r="D37" s="1">
        <v>117.14581800000001</v>
      </c>
      <c r="E37" s="1">
        <v>-2.796878</v>
      </c>
      <c r="F37" s="1">
        <v>0.82270900000000002</v>
      </c>
      <c r="G37" s="1">
        <v>1.0851390000000001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  <c r="AF37" t="s">
        <v>30</v>
      </c>
      <c r="AG37" t="s">
        <v>30</v>
      </c>
    </row>
    <row r="38" spans="1:33" x14ac:dyDescent="0.35">
      <c r="A38" s="1">
        <v>600</v>
      </c>
      <c r="B38" s="1">
        <v>18.060362000000001</v>
      </c>
      <c r="C38" s="1">
        <v>70.787800000000004</v>
      </c>
      <c r="D38" s="1">
        <v>117.14581800000001</v>
      </c>
      <c r="E38" s="1">
        <v>-1.3241339999999999</v>
      </c>
      <c r="F38" s="1">
        <v>-0.62216300000000002</v>
      </c>
      <c r="G38" s="1">
        <v>3.61619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  <c r="AE38" t="s">
        <v>30</v>
      </c>
      <c r="AF38" t="s">
        <v>30</v>
      </c>
      <c r="AG38" t="s">
        <v>30</v>
      </c>
    </row>
    <row r="39" spans="1:33" x14ac:dyDescent="0.35">
      <c r="A39" s="1">
        <v>620</v>
      </c>
      <c r="B39" s="1">
        <v>18.650182999999998</v>
      </c>
      <c r="C39" s="1">
        <v>76.979642999999996</v>
      </c>
      <c r="D39" s="1">
        <v>117.14581800000001</v>
      </c>
      <c r="E39" s="1">
        <v>1.7773000000000001E-2</v>
      </c>
      <c r="F39" s="1">
        <v>-0.872556</v>
      </c>
      <c r="G39" s="1">
        <v>-1.6885570000000001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  <c r="AF39" t="s">
        <v>30</v>
      </c>
      <c r="AG39" t="s">
        <v>30</v>
      </c>
    </row>
    <row r="40" spans="1:33" x14ac:dyDescent="0.35">
      <c r="A40" s="1">
        <v>640</v>
      </c>
      <c r="B40" s="1">
        <v>19.238451999999999</v>
      </c>
      <c r="C40" s="1">
        <v>69.202628000000004</v>
      </c>
      <c r="D40" s="1">
        <v>117.14581800000001</v>
      </c>
      <c r="E40" s="1">
        <v>-2.1368710000000002</v>
      </c>
      <c r="F40" s="1">
        <v>-3.7401999999999998E-2</v>
      </c>
      <c r="G40" s="1">
        <v>-3.7876699999999999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  <c r="AE40" t="s">
        <v>30</v>
      </c>
      <c r="AF40" t="s">
        <v>30</v>
      </c>
      <c r="AG40" t="s">
        <v>30</v>
      </c>
    </row>
    <row r="41" spans="1:33" x14ac:dyDescent="0.35">
      <c r="A41" s="1">
        <v>660</v>
      </c>
      <c r="B41" s="1">
        <v>19.813658</v>
      </c>
      <c r="C41" s="1">
        <v>71.000484999999998</v>
      </c>
      <c r="D41" s="1">
        <v>117.14581800000001</v>
      </c>
      <c r="E41" s="1">
        <v>2.4465370000000002</v>
      </c>
      <c r="F41" s="1">
        <v>0.27700599999999997</v>
      </c>
      <c r="G41" s="1">
        <v>-0.66477200000000003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  <c r="AG41" t="s">
        <v>30</v>
      </c>
    </row>
    <row r="42" spans="1:33" x14ac:dyDescent="0.35">
      <c r="A42" s="1">
        <v>680</v>
      </c>
      <c r="B42" s="1">
        <v>20.417957000000001</v>
      </c>
      <c r="C42" s="1">
        <v>71.012698</v>
      </c>
      <c r="D42" s="1">
        <v>117.14581800000001</v>
      </c>
      <c r="E42" s="1">
        <v>1.3312809999999999</v>
      </c>
      <c r="F42" s="1">
        <v>-1.0478879999999999</v>
      </c>
      <c r="G42" s="1">
        <v>0.1082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  <c r="AE42" t="s">
        <v>30</v>
      </c>
      <c r="AF42" t="s">
        <v>30</v>
      </c>
      <c r="AG42" t="s">
        <v>30</v>
      </c>
    </row>
    <row r="43" spans="1:33" x14ac:dyDescent="0.35">
      <c r="A43" s="1">
        <v>700</v>
      </c>
      <c r="B43" s="1">
        <v>21.040876999999998</v>
      </c>
      <c r="C43" s="1">
        <v>72.9482</v>
      </c>
      <c r="D43" s="1">
        <v>117.14581800000001</v>
      </c>
      <c r="E43" s="1">
        <v>1.808786</v>
      </c>
      <c r="F43" s="1">
        <v>-0.86237900000000001</v>
      </c>
      <c r="G43" s="1">
        <v>1.7581290000000001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  <c r="AF43" t="s">
        <v>30</v>
      </c>
      <c r="AG43" t="s">
        <v>30</v>
      </c>
    </row>
    <row r="44" spans="1:33" x14ac:dyDescent="0.35">
      <c r="A44" s="1">
        <v>720</v>
      </c>
      <c r="B44" s="1">
        <v>21.609234000000001</v>
      </c>
      <c r="C44" s="1">
        <v>63.939532</v>
      </c>
      <c r="D44" s="1">
        <v>117.14581800000001</v>
      </c>
      <c r="E44" s="1">
        <v>0.50140700000000005</v>
      </c>
      <c r="F44" s="1">
        <v>1.9929049999999999</v>
      </c>
      <c r="G44" s="1">
        <v>0.18310199999999999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  <c r="AE44" t="s">
        <v>30</v>
      </c>
      <c r="AF44" t="s">
        <v>30</v>
      </c>
      <c r="AG44" t="s">
        <v>30</v>
      </c>
    </row>
    <row r="45" spans="1:33" x14ac:dyDescent="0.35">
      <c r="A45" s="1">
        <v>740</v>
      </c>
      <c r="B45" s="1">
        <v>22.207941999999999</v>
      </c>
      <c r="C45" s="1">
        <v>73.043970999999999</v>
      </c>
      <c r="D45" s="1">
        <v>117.14581800000001</v>
      </c>
      <c r="E45" s="1">
        <v>1.3057080000000001</v>
      </c>
      <c r="F45" s="1">
        <v>-0.69888899999999998</v>
      </c>
      <c r="G45" s="1">
        <v>1.3325359999999999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  <c r="AF45" t="s">
        <v>30</v>
      </c>
      <c r="AG45" t="s">
        <v>30</v>
      </c>
    </row>
    <row r="46" spans="1:33" x14ac:dyDescent="0.35">
      <c r="A46" s="1">
        <v>760</v>
      </c>
      <c r="B46" s="1">
        <v>22.791996999999999</v>
      </c>
      <c r="C46" s="1">
        <v>74.610219999999998</v>
      </c>
      <c r="D46" s="1">
        <v>117.14581800000001</v>
      </c>
      <c r="E46" s="1">
        <v>-0.28549000000000002</v>
      </c>
      <c r="F46" s="1">
        <v>-0.82915000000000005</v>
      </c>
      <c r="G46" s="1">
        <v>1.3337289999999999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  <c r="AE46" t="s">
        <v>30</v>
      </c>
      <c r="AF46" t="s">
        <v>30</v>
      </c>
      <c r="AG46" t="s">
        <v>30</v>
      </c>
    </row>
    <row r="47" spans="1:33" x14ac:dyDescent="0.35">
      <c r="A47" s="1">
        <v>780</v>
      </c>
      <c r="B47" s="1">
        <v>23.377941</v>
      </c>
      <c r="C47" s="1">
        <v>64.318810999999997</v>
      </c>
      <c r="D47" s="1">
        <v>117.14581800000001</v>
      </c>
      <c r="E47" s="1">
        <v>-0.191777</v>
      </c>
      <c r="F47" s="1">
        <v>2.525496</v>
      </c>
      <c r="G47" s="1">
        <v>-1.748264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s">
        <v>30</v>
      </c>
      <c r="AF47" t="s">
        <v>30</v>
      </c>
      <c r="AG47" t="s">
        <v>30</v>
      </c>
    </row>
    <row r="48" spans="1:33" x14ac:dyDescent="0.35">
      <c r="A48" s="1">
        <v>800</v>
      </c>
      <c r="B48" s="1">
        <v>23.956620999999998</v>
      </c>
      <c r="C48" s="1">
        <v>74.863557</v>
      </c>
      <c r="D48" s="1">
        <v>117.14581800000001</v>
      </c>
      <c r="E48" s="1">
        <v>0.40693000000000001</v>
      </c>
      <c r="F48" s="1">
        <v>0.29748799999999997</v>
      </c>
      <c r="G48" s="1">
        <v>-2.006831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  <c r="AE48" t="s">
        <v>30</v>
      </c>
      <c r="AF48" t="s">
        <v>30</v>
      </c>
      <c r="AG48" t="s">
        <v>30</v>
      </c>
    </row>
    <row r="49" spans="1:33" x14ac:dyDescent="0.35">
      <c r="A49" s="1">
        <v>820</v>
      </c>
      <c r="B49" s="1">
        <v>24.59084</v>
      </c>
      <c r="C49" s="1">
        <v>76.293260000000004</v>
      </c>
      <c r="D49" s="1">
        <v>117.14581800000001</v>
      </c>
      <c r="E49" s="1">
        <v>-2.3462079999999998</v>
      </c>
      <c r="F49" s="1">
        <v>-0.132498</v>
      </c>
      <c r="G49" s="1">
        <v>0.209949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s">
        <v>30</v>
      </c>
      <c r="AF49" t="s">
        <v>30</v>
      </c>
      <c r="AG49" t="s">
        <v>30</v>
      </c>
    </row>
    <row r="50" spans="1:33" x14ac:dyDescent="0.35">
      <c r="A50" s="1">
        <v>840</v>
      </c>
      <c r="B50" s="1">
        <v>25.174212000000001</v>
      </c>
      <c r="C50" s="1">
        <v>61.786202000000003</v>
      </c>
      <c r="D50" s="1">
        <v>117.14581800000001</v>
      </c>
      <c r="E50" s="1">
        <v>-3.1158260000000002</v>
      </c>
      <c r="F50" s="1">
        <v>-0.662632</v>
      </c>
      <c r="G50" s="1">
        <v>0.88093600000000005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  <c r="AE50" t="s">
        <v>30</v>
      </c>
      <c r="AF50" t="s">
        <v>30</v>
      </c>
      <c r="AG50" t="s">
        <v>30</v>
      </c>
    </row>
    <row r="51" spans="1:33" x14ac:dyDescent="0.35">
      <c r="A51" s="1">
        <v>860</v>
      </c>
      <c r="B51" s="1">
        <v>25.785063999999998</v>
      </c>
      <c r="C51" s="1">
        <v>62.203426999999998</v>
      </c>
      <c r="D51" s="1">
        <v>117.14581800000001</v>
      </c>
      <c r="E51" s="1">
        <v>0.59311499999999995</v>
      </c>
      <c r="F51" s="1">
        <v>1.172841</v>
      </c>
      <c r="G51" s="1">
        <v>1.031674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s">
        <v>30</v>
      </c>
      <c r="AF51" t="s">
        <v>30</v>
      </c>
      <c r="AG51" t="s">
        <v>30</v>
      </c>
    </row>
    <row r="52" spans="1:33" x14ac:dyDescent="0.35">
      <c r="A52" s="1">
        <v>880</v>
      </c>
      <c r="B52" s="1">
        <v>26.396011999999999</v>
      </c>
      <c r="C52" s="1">
        <v>70.022660000000002</v>
      </c>
      <c r="D52" s="1">
        <v>117.14581800000001</v>
      </c>
      <c r="E52" s="1">
        <v>0.95413099999999995</v>
      </c>
      <c r="F52" s="1">
        <v>-0.88153099999999995</v>
      </c>
      <c r="G52" s="1">
        <v>-1.6261829999999999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  <c r="AE52" t="s">
        <v>30</v>
      </c>
      <c r="AF52" t="s">
        <v>30</v>
      </c>
      <c r="AG52" t="s">
        <v>30</v>
      </c>
    </row>
    <row r="53" spans="1:33" x14ac:dyDescent="0.35">
      <c r="A53" s="1">
        <v>900</v>
      </c>
      <c r="B53" s="1">
        <v>26.990938</v>
      </c>
      <c r="C53" s="1">
        <v>60.177449000000003</v>
      </c>
      <c r="D53" s="1">
        <v>117.14581800000001</v>
      </c>
      <c r="E53" s="1">
        <v>2.03396</v>
      </c>
      <c r="F53" s="1">
        <v>1.7057819999999999</v>
      </c>
      <c r="G53" s="1">
        <v>-1.025469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s">
        <v>30</v>
      </c>
      <c r="AF53" t="s">
        <v>30</v>
      </c>
      <c r="AG53" t="s">
        <v>30</v>
      </c>
    </row>
    <row r="54" spans="1:33" x14ac:dyDescent="0.35">
      <c r="A54" s="1">
        <v>920</v>
      </c>
      <c r="B54" s="1">
        <v>27.584795</v>
      </c>
      <c r="C54" s="1">
        <v>70.519625000000005</v>
      </c>
      <c r="D54" s="1">
        <v>117.14581800000001</v>
      </c>
      <c r="E54" s="1">
        <v>-0.55589500000000003</v>
      </c>
      <c r="F54" s="1">
        <v>-0.19853000000000001</v>
      </c>
      <c r="G54" s="1">
        <v>1.0578369999999999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  <c r="AE54" t="s">
        <v>30</v>
      </c>
      <c r="AF54" t="s">
        <v>30</v>
      </c>
      <c r="AG54" t="s">
        <v>30</v>
      </c>
    </row>
    <row r="55" spans="1:33" x14ac:dyDescent="0.35">
      <c r="A55" s="1">
        <v>940</v>
      </c>
      <c r="B55" s="1">
        <v>28.185912999999999</v>
      </c>
      <c r="C55" s="1">
        <v>64.326032999999995</v>
      </c>
      <c r="D55" s="1">
        <v>117.14581800000001</v>
      </c>
      <c r="E55" s="1">
        <v>-1.317242</v>
      </c>
      <c r="F55" s="1">
        <v>-1.2044459999999999</v>
      </c>
      <c r="G55" s="1">
        <v>0.88679399999999997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  <c r="AG55" t="s">
        <v>30</v>
      </c>
    </row>
    <row r="56" spans="1:33" x14ac:dyDescent="0.35">
      <c r="A56" s="1">
        <v>960</v>
      </c>
      <c r="B56" s="1">
        <v>28.802914999999999</v>
      </c>
      <c r="C56" s="1">
        <v>57.820985</v>
      </c>
      <c r="D56" s="1">
        <v>117.14581800000001</v>
      </c>
      <c r="E56" s="1">
        <v>9.0326000000000004E-2</v>
      </c>
      <c r="F56" s="1">
        <v>1.4769540000000001</v>
      </c>
      <c r="G56" s="1">
        <v>0.43290600000000001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  <c r="AE56" t="s">
        <v>30</v>
      </c>
      <c r="AF56" t="s">
        <v>30</v>
      </c>
      <c r="AG56" t="s">
        <v>30</v>
      </c>
    </row>
    <row r="57" spans="1:33" x14ac:dyDescent="0.35">
      <c r="A57" s="1">
        <v>980</v>
      </c>
      <c r="B57" s="1">
        <v>29.510922000000001</v>
      </c>
      <c r="C57" s="1">
        <v>58.455876000000004</v>
      </c>
      <c r="D57" s="1">
        <v>117.14581800000001</v>
      </c>
      <c r="E57" s="1">
        <v>1.373907</v>
      </c>
      <c r="F57" s="1">
        <v>-9.0263999999999997E-2</v>
      </c>
      <c r="G57" s="1">
        <v>0.48952800000000002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  <c r="AG57" t="s">
        <v>30</v>
      </c>
    </row>
    <row r="58" spans="1:33" x14ac:dyDescent="0.35">
      <c r="A58" s="1">
        <v>1000</v>
      </c>
      <c r="B58" s="1">
        <v>30.261758</v>
      </c>
      <c r="C58" s="1">
        <v>62.895586999999999</v>
      </c>
      <c r="D58" s="1">
        <v>117.14581800000001</v>
      </c>
      <c r="E58" s="1">
        <v>-1.0193620000000001</v>
      </c>
      <c r="F58" s="1">
        <v>0.20887500000000001</v>
      </c>
      <c r="G58" s="1">
        <v>-1.120676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  <c r="AE58" t="s">
        <v>30</v>
      </c>
      <c r="AF58" t="s">
        <v>30</v>
      </c>
      <c r="AG58" t="s">
        <v>30</v>
      </c>
    </row>
    <row r="59" spans="1:33" x14ac:dyDescent="0.35">
      <c r="A59" s="1">
        <v>1020</v>
      </c>
      <c r="B59" s="1">
        <v>30.997976000000001</v>
      </c>
      <c r="C59" s="1">
        <v>49.325592</v>
      </c>
      <c r="D59" s="1">
        <v>117.14581800000001</v>
      </c>
      <c r="E59" s="1">
        <v>0.10657800000000001</v>
      </c>
      <c r="F59" s="1">
        <v>0.33539999999999998</v>
      </c>
      <c r="G59" s="1">
        <v>1.6739930000000001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30</v>
      </c>
      <c r="AF59" t="s">
        <v>30</v>
      </c>
      <c r="AG59" t="s">
        <v>30</v>
      </c>
    </row>
    <row r="60" spans="1:33" x14ac:dyDescent="0.35">
      <c r="A60" s="1">
        <v>1040</v>
      </c>
      <c r="B60" s="1">
        <v>31.685058999999999</v>
      </c>
      <c r="C60" s="1">
        <v>60.705739000000001</v>
      </c>
      <c r="D60" s="1">
        <v>117.14581800000001</v>
      </c>
      <c r="E60" s="1">
        <v>0.50808500000000001</v>
      </c>
      <c r="F60" s="1">
        <v>0.543408</v>
      </c>
      <c r="G60" s="1">
        <v>-0.46529199999999998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  <c r="AE60" t="s">
        <v>30</v>
      </c>
      <c r="AF60" t="s">
        <v>30</v>
      </c>
      <c r="AG60" t="s">
        <v>30</v>
      </c>
    </row>
    <row r="61" spans="1:33" x14ac:dyDescent="0.35">
      <c r="A61" s="1">
        <v>1060</v>
      </c>
      <c r="B61" s="1">
        <v>32.473740999999997</v>
      </c>
      <c r="C61" s="1">
        <v>61.079965000000001</v>
      </c>
      <c r="D61" s="1">
        <v>117.14581800000001</v>
      </c>
      <c r="E61" s="1">
        <v>1.6934880000000001</v>
      </c>
      <c r="F61" s="1">
        <v>-1.011587</v>
      </c>
      <c r="G61" s="1">
        <v>-0.55413699999999999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s">
        <v>30</v>
      </c>
      <c r="AF61" t="s">
        <v>30</v>
      </c>
      <c r="AG61" t="s">
        <v>30</v>
      </c>
    </row>
    <row r="62" spans="1:33" x14ac:dyDescent="0.35">
      <c r="A62" s="1">
        <v>1080</v>
      </c>
      <c r="B62" s="1">
        <v>33.222766</v>
      </c>
      <c r="C62" s="1">
        <v>57.601081999999998</v>
      </c>
      <c r="D62" s="1">
        <v>117.14581800000001</v>
      </c>
      <c r="E62" s="1">
        <v>0.72036299999999998</v>
      </c>
      <c r="F62" s="1">
        <v>4.9475449999999999</v>
      </c>
      <c r="G62" s="1">
        <v>1.8499429999999999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  <c r="AE62" t="s">
        <v>30</v>
      </c>
      <c r="AF62" t="s">
        <v>30</v>
      </c>
      <c r="AG62" t="s">
        <v>30</v>
      </c>
    </row>
    <row r="63" spans="1:33" x14ac:dyDescent="0.35">
      <c r="A63" s="1">
        <v>1100</v>
      </c>
      <c r="B63" s="1">
        <v>33.888928999999997</v>
      </c>
      <c r="C63" s="1">
        <v>75.655413999999993</v>
      </c>
      <c r="D63" s="1">
        <v>117.14581800000001</v>
      </c>
      <c r="E63" s="1">
        <v>0.88684099999999999</v>
      </c>
      <c r="F63" s="1">
        <v>-3.250667</v>
      </c>
      <c r="G63" s="1">
        <v>-1.087189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s">
        <v>30</v>
      </c>
      <c r="AF63" t="s">
        <v>30</v>
      </c>
      <c r="AG63" t="s">
        <v>30</v>
      </c>
    </row>
    <row r="64" spans="1:33" x14ac:dyDescent="0.35">
      <c r="A64" s="1">
        <v>1120</v>
      </c>
      <c r="B64" s="1">
        <v>34.491247999999999</v>
      </c>
      <c r="C64" s="1">
        <v>76.148715999999993</v>
      </c>
      <c r="D64" s="1">
        <v>117.14581800000001</v>
      </c>
      <c r="E64" s="1">
        <v>-0.309612</v>
      </c>
      <c r="F64" s="1">
        <v>-0.51357799999999998</v>
      </c>
      <c r="G64" s="1">
        <v>-1.163778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  <c r="AE64" t="s">
        <v>30</v>
      </c>
      <c r="AF64" t="s">
        <v>30</v>
      </c>
      <c r="AG64" t="s">
        <v>30</v>
      </c>
    </row>
    <row r="65" spans="1:33" x14ac:dyDescent="0.35">
      <c r="A65" s="1">
        <v>1140</v>
      </c>
      <c r="B65" s="1">
        <v>35.069102999999998</v>
      </c>
      <c r="C65" s="1">
        <v>70.943943000000004</v>
      </c>
      <c r="D65" s="1">
        <v>117.14581800000001</v>
      </c>
      <c r="E65" s="1">
        <v>-1.295912</v>
      </c>
      <c r="F65" s="1">
        <v>2.137861</v>
      </c>
      <c r="G65" s="1">
        <v>-0.80206900000000003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  <c r="AG65" t="s">
        <v>30</v>
      </c>
    </row>
    <row r="66" spans="1:33" x14ac:dyDescent="0.35">
      <c r="A66" s="1">
        <v>1160</v>
      </c>
      <c r="B66" s="1">
        <v>35.657567</v>
      </c>
      <c r="C66" s="1">
        <v>73.796141000000006</v>
      </c>
      <c r="D66" s="1">
        <v>117.14581800000001</v>
      </c>
      <c r="E66" s="1">
        <v>1.419624</v>
      </c>
      <c r="F66" s="1">
        <v>-0.99636400000000003</v>
      </c>
      <c r="G66" s="1">
        <v>1.2995289999999999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  <c r="AE66" t="s">
        <v>30</v>
      </c>
      <c r="AF66" t="s">
        <v>30</v>
      </c>
      <c r="AG66" t="s">
        <v>30</v>
      </c>
    </row>
    <row r="67" spans="1:33" x14ac:dyDescent="0.35">
      <c r="A67" s="1">
        <v>1180</v>
      </c>
      <c r="B67" s="1">
        <v>36.234433000000003</v>
      </c>
      <c r="C67" s="1">
        <v>75.845194000000006</v>
      </c>
      <c r="D67" s="1">
        <v>117.14581800000001</v>
      </c>
      <c r="E67" s="1">
        <v>-2.0253779999999999</v>
      </c>
      <c r="F67" s="1">
        <v>-0.56087100000000001</v>
      </c>
      <c r="G67" s="1">
        <v>1.5335080000000001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t="s">
        <v>30</v>
      </c>
      <c r="AG67" t="s">
        <v>30</v>
      </c>
    </row>
    <row r="68" spans="1:33" x14ac:dyDescent="0.35">
      <c r="A68" s="1">
        <v>1200</v>
      </c>
      <c r="B68" s="1">
        <v>36.802173000000003</v>
      </c>
      <c r="C68" s="1">
        <v>71.083217000000005</v>
      </c>
      <c r="D68" s="1">
        <v>117.14581800000001</v>
      </c>
      <c r="E68" s="1">
        <v>-0.32045899999999999</v>
      </c>
      <c r="F68" s="1">
        <v>2.2913640000000002</v>
      </c>
      <c r="G68" s="1">
        <v>-1.143588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  <c r="AE68" t="s">
        <v>30</v>
      </c>
      <c r="AF68" t="s">
        <v>30</v>
      </c>
      <c r="AG68" t="s">
        <v>30</v>
      </c>
    </row>
    <row r="69" spans="1:33" x14ac:dyDescent="0.35">
      <c r="A69" s="1">
        <v>1220</v>
      </c>
      <c r="B69" s="1">
        <v>37.430007000000003</v>
      </c>
      <c r="C69" s="1">
        <v>61.544513999999999</v>
      </c>
      <c r="D69" s="1">
        <v>117.14581800000001</v>
      </c>
      <c r="E69" s="1">
        <v>1.6426160000000001</v>
      </c>
      <c r="F69" s="1">
        <v>0.55616500000000002</v>
      </c>
      <c r="G69" s="1">
        <v>-1.4546999999999999E-2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  <c r="AG69" t="s">
        <v>30</v>
      </c>
    </row>
    <row r="70" spans="1:33" x14ac:dyDescent="0.35">
      <c r="A70" s="1">
        <v>1240</v>
      </c>
      <c r="B70" s="1">
        <v>38.010641999999997</v>
      </c>
      <c r="C70" s="1">
        <v>64.907201999999998</v>
      </c>
      <c r="D70" s="1">
        <v>117.14581800000001</v>
      </c>
      <c r="E70" s="1">
        <v>3.172488</v>
      </c>
      <c r="F70" s="1">
        <v>6.1690000000000002E-2</v>
      </c>
      <c r="G70" s="1">
        <v>0.40803899999999999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  <c r="AE70" t="s">
        <v>30</v>
      </c>
      <c r="AF70" t="s">
        <v>30</v>
      </c>
      <c r="AG70" t="s">
        <v>30</v>
      </c>
    </row>
    <row r="71" spans="1:33" x14ac:dyDescent="0.35">
      <c r="A71" s="1">
        <v>1260</v>
      </c>
      <c r="B71" s="1">
        <v>38.585666000000003</v>
      </c>
      <c r="C71" s="1">
        <v>71.766448999999994</v>
      </c>
      <c r="D71" s="1">
        <v>117.14581800000001</v>
      </c>
      <c r="E71" s="1">
        <v>2.9215070000000001</v>
      </c>
      <c r="F71" s="1">
        <v>-1.903467</v>
      </c>
      <c r="G71" s="1">
        <v>-2.432852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t="s">
        <v>30</v>
      </c>
      <c r="AG71" t="s">
        <v>30</v>
      </c>
    </row>
    <row r="72" spans="1:33" x14ac:dyDescent="0.35">
      <c r="A72" s="1">
        <v>1280</v>
      </c>
      <c r="B72" s="1">
        <v>39.159706</v>
      </c>
      <c r="C72" s="1">
        <v>70.991386000000006</v>
      </c>
      <c r="D72" s="1">
        <v>117.14581800000001</v>
      </c>
      <c r="E72" s="1">
        <v>-0.62303200000000003</v>
      </c>
      <c r="F72" s="1">
        <v>0.67135800000000001</v>
      </c>
      <c r="G72" s="1">
        <v>1.2714620000000001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  <c r="AE72" t="s">
        <v>30</v>
      </c>
      <c r="AF72" t="s">
        <v>30</v>
      </c>
      <c r="AG72" t="s">
        <v>30</v>
      </c>
    </row>
    <row r="73" spans="1:33" x14ac:dyDescent="0.35">
      <c r="A73" s="1">
        <v>1300</v>
      </c>
      <c r="B73" s="1">
        <v>39.744059</v>
      </c>
      <c r="C73" s="1">
        <v>76.051754000000003</v>
      </c>
      <c r="D73" s="1">
        <v>117.14581800000001</v>
      </c>
      <c r="E73" s="1">
        <v>-3.997716</v>
      </c>
      <c r="F73" s="1">
        <v>-1.102109</v>
      </c>
      <c r="G73" s="1">
        <v>-1.920105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t="s">
        <v>30</v>
      </c>
      <c r="AG73" t="s">
        <v>30</v>
      </c>
    </row>
    <row r="74" spans="1:33" x14ac:dyDescent="0.35">
      <c r="A74" s="1">
        <v>1320</v>
      </c>
      <c r="B74" s="1">
        <v>40.367811000000003</v>
      </c>
      <c r="C74" s="1">
        <v>61.239297999999998</v>
      </c>
      <c r="D74" s="1">
        <v>117.14581800000001</v>
      </c>
      <c r="E74" s="1">
        <v>-0.435081</v>
      </c>
      <c r="F74" s="1">
        <v>1.9593160000000001</v>
      </c>
      <c r="G74" s="1">
        <v>2.058551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  <c r="AE74" t="s">
        <v>30</v>
      </c>
      <c r="AF74" t="s">
        <v>30</v>
      </c>
      <c r="AG74" t="s">
        <v>30</v>
      </c>
    </row>
    <row r="75" spans="1:33" x14ac:dyDescent="0.35">
      <c r="A75" s="1">
        <v>1340</v>
      </c>
      <c r="B75" s="1">
        <v>40.983094999999999</v>
      </c>
      <c r="C75" s="1">
        <v>74.155793000000003</v>
      </c>
      <c r="D75" s="1">
        <v>117.14581800000001</v>
      </c>
      <c r="E75" s="1">
        <v>0.91606600000000005</v>
      </c>
      <c r="F75" s="1">
        <v>-1.059016</v>
      </c>
      <c r="G75" s="1">
        <v>0.41089900000000001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s">
        <v>30</v>
      </c>
      <c r="AF75" t="s">
        <v>30</v>
      </c>
      <c r="AG75" t="s">
        <v>30</v>
      </c>
    </row>
    <row r="76" spans="1:33" x14ac:dyDescent="0.35">
      <c r="A76" s="1">
        <v>1360</v>
      </c>
      <c r="B76" s="1">
        <v>41.572018</v>
      </c>
      <c r="C76" s="1">
        <v>69.619155000000006</v>
      </c>
      <c r="D76" s="1">
        <v>117.14581800000001</v>
      </c>
      <c r="E76" s="1">
        <v>2.356055</v>
      </c>
      <c r="F76" s="1">
        <v>-1.892261</v>
      </c>
      <c r="G76" s="1">
        <v>-1.867308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  <c r="AE76" t="s">
        <v>30</v>
      </c>
      <c r="AF76" t="s">
        <v>30</v>
      </c>
      <c r="AG76" t="s">
        <v>30</v>
      </c>
    </row>
    <row r="77" spans="1:33" x14ac:dyDescent="0.35">
      <c r="A77" s="1">
        <v>1380</v>
      </c>
      <c r="B77" s="1">
        <v>42.198963999999997</v>
      </c>
      <c r="C77" s="1">
        <v>63.167513</v>
      </c>
      <c r="D77" s="1">
        <v>117.14581800000001</v>
      </c>
      <c r="E77" s="1">
        <v>0.83438999999999997</v>
      </c>
      <c r="F77" s="1">
        <v>2.171395</v>
      </c>
      <c r="G77" s="1">
        <v>2.9860259999999998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  <c r="AE77" t="s">
        <v>30</v>
      </c>
      <c r="AF77" t="s">
        <v>30</v>
      </c>
      <c r="AG77" t="s">
        <v>30</v>
      </c>
    </row>
    <row r="78" spans="1:33" x14ac:dyDescent="0.35">
      <c r="A78" s="1">
        <v>1400</v>
      </c>
      <c r="B78" s="1">
        <v>42.793588</v>
      </c>
      <c r="C78" s="1">
        <v>77.913488999999998</v>
      </c>
      <c r="D78" s="1">
        <v>117.14581800000001</v>
      </c>
      <c r="E78" s="1">
        <v>0.41849999999999998</v>
      </c>
      <c r="F78" s="1">
        <v>-1.8589059999999999</v>
      </c>
      <c r="G78" s="1">
        <v>-2.7220049999999998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  <c r="AE78" t="s">
        <v>30</v>
      </c>
      <c r="AF78" t="s">
        <v>30</v>
      </c>
      <c r="AG78" t="s">
        <v>30</v>
      </c>
    </row>
    <row r="79" spans="1:33" x14ac:dyDescent="0.35">
      <c r="A79" s="1">
        <v>1420</v>
      </c>
      <c r="B79" s="1">
        <v>43.396127</v>
      </c>
      <c r="C79" s="1">
        <v>64.107955000000004</v>
      </c>
      <c r="D79" s="1">
        <v>117.14581800000001</v>
      </c>
      <c r="E79" s="1">
        <v>-0.34548600000000002</v>
      </c>
      <c r="F79" s="1">
        <v>-4.0871999999999999E-2</v>
      </c>
      <c r="G79" s="1">
        <v>-1.146398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s">
        <v>30</v>
      </c>
      <c r="AF79" t="s">
        <v>30</v>
      </c>
      <c r="AG79" t="s">
        <v>30</v>
      </c>
    </row>
    <row r="80" spans="1:33" x14ac:dyDescent="0.35">
      <c r="A80" s="1">
        <v>1440</v>
      </c>
      <c r="B80" s="1">
        <v>43.983173999999998</v>
      </c>
      <c r="C80" s="1">
        <v>63.275652999999998</v>
      </c>
      <c r="D80" s="1">
        <v>117.14581800000001</v>
      </c>
      <c r="E80" s="1">
        <v>-2.1996180000000001</v>
      </c>
      <c r="F80" s="1">
        <v>3.4039890000000002</v>
      </c>
      <c r="G80" s="1">
        <v>-3.6947000000000001E-2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  <c r="AE80" t="s">
        <v>30</v>
      </c>
      <c r="AF80" t="s">
        <v>30</v>
      </c>
      <c r="AG80" t="s">
        <v>30</v>
      </c>
    </row>
    <row r="81" spans="1:33" x14ac:dyDescent="0.35">
      <c r="A81" s="1">
        <v>1460</v>
      </c>
      <c r="B81" s="1">
        <v>44.611474999999999</v>
      </c>
      <c r="C81" s="1">
        <v>64.353184999999996</v>
      </c>
      <c r="D81" s="1">
        <v>117.14581800000001</v>
      </c>
      <c r="E81" s="1">
        <v>-2.408633</v>
      </c>
      <c r="F81" s="1">
        <v>-0.31720500000000001</v>
      </c>
      <c r="G81" s="1">
        <v>1.128263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s">
        <v>30</v>
      </c>
      <c r="AF81" t="s">
        <v>30</v>
      </c>
      <c r="AG81" t="s">
        <v>30</v>
      </c>
    </row>
    <row r="82" spans="1:33" x14ac:dyDescent="0.35">
      <c r="A82" s="1">
        <v>1480</v>
      </c>
      <c r="B82" s="1">
        <v>45.230049000000001</v>
      </c>
      <c r="C82" s="1">
        <v>65.742748000000006</v>
      </c>
      <c r="D82" s="1">
        <v>117.14581800000001</v>
      </c>
      <c r="E82" s="1">
        <v>-0.387602</v>
      </c>
      <c r="F82" s="1">
        <v>-1.3515200000000001</v>
      </c>
      <c r="G82" s="1">
        <v>-0.55781599999999998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  <c r="AE82" t="s">
        <v>30</v>
      </c>
      <c r="AF82" t="s">
        <v>30</v>
      </c>
      <c r="AG82" t="s">
        <v>30</v>
      </c>
    </row>
    <row r="83" spans="1:33" x14ac:dyDescent="0.35">
      <c r="A83" s="1">
        <v>1500</v>
      </c>
      <c r="B83" s="1">
        <v>45.896256000000001</v>
      </c>
      <c r="C83" s="1">
        <v>74.547359999999998</v>
      </c>
      <c r="D83" s="1">
        <v>117.14581800000001</v>
      </c>
      <c r="E83" s="1">
        <v>-8.9103000000000002E-2</v>
      </c>
      <c r="F83" s="1">
        <v>0.41044799999999998</v>
      </c>
      <c r="G83" s="1">
        <v>-0.99228400000000005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  <c r="AE83" t="s">
        <v>30</v>
      </c>
      <c r="AF83" t="s">
        <v>30</v>
      </c>
      <c r="AG83" t="s">
        <v>30</v>
      </c>
    </row>
    <row r="84" spans="1:33" x14ac:dyDescent="0.35">
      <c r="A84" s="1">
        <v>1520</v>
      </c>
      <c r="B84" s="1">
        <v>46.515079999999998</v>
      </c>
      <c r="C84" s="1">
        <v>65.041362000000007</v>
      </c>
      <c r="D84" s="1">
        <v>117.14581800000001</v>
      </c>
      <c r="E84" s="1">
        <v>-0.24781700000000001</v>
      </c>
      <c r="F84" s="1">
        <v>1.1389689999999999</v>
      </c>
      <c r="G84" s="1">
        <v>0.17039499999999999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  <c r="AE84" t="s">
        <v>30</v>
      </c>
      <c r="AF84" t="s">
        <v>30</v>
      </c>
      <c r="AG84" t="s">
        <v>30</v>
      </c>
    </row>
    <row r="85" spans="1:33" x14ac:dyDescent="0.35">
      <c r="A85" s="1">
        <v>1540</v>
      </c>
      <c r="B85" s="1">
        <v>47.171500999999999</v>
      </c>
      <c r="C85" s="1">
        <v>59.566020999999999</v>
      </c>
      <c r="D85" s="1">
        <v>117.14581800000001</v>
      </c>
      <c r="E85" s="1">
        <v>0.50020600000000004</v>
      </c>
      <c r="F85" s="1">
        <v>1.0594760000000001</v>
      </c>
      <c r="G85" s="1">
        <v>0.61101399999999995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s">
        <v>30</v>
      </c>
      <c r="AF85" t="s">
        <v>30</v>
      </c>
      <c r="AG85" t="s">
        <v>30</v>
      </c>
    </row>
    <row r="86" spans="1:33" x14ac:dyDescent="0.35">
      <c r="A86" s="1">
        <v>1560</v>
      </c>
      <c r="B86" s="1">
        <v>47.843746000000003</v>
      </c>
      <c r="C86" s="1">
        <v>67.534920999999997</v>
      </c>
      <c r="D86" s="1">
        <v>117.14581800000001</v>
      </c>
      <c r="E86" s="1">
        <v>1.8592610000000001</v>
      </c>
      <c r="F86" s="1">
        <v>-3.004972</v>
      </c>
      <c r="G86" s="1">
        <v>1.207082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  <c r="AE86" t="s">
        <v>30</v>
      </c>
      <c r="AF86" t="s">
        <v>30</v>
      </c>
      <c r="AG86" t="s">
        <v>30</v>
      </c>
    </row>
    <row r="87" spans="1:33" x14ac:dyDescent="0.35">
      <c r="A87" s="1">
        <v>1580</v>
      </c>
      <c r="B87" s="1">
        <v>48.451017999999998</v>
      </c>
      <c r="C87" s="1">
        <v>62.310558</v>
      </c>
      <c r="D87" s="1">
        <v>117.14581800000001</v>
      </c>
      <c r="E87" s="1">
        <v>0.57079500000000005</v>
      </c>
      <c r="F87" s="1">
        <v>-8.5497000000000004E-2</v>
      </c>
      <c r="G87" s="1">
        <v>-1.9701740000000001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s">
        <v>30</v>
      </c>
      <c r="AF87" t="s">
        <v>30</v>
      </c>
      <c r="AG87" t="s">
        <v>30</v>
      </c>
    </row>
    <row r="88" spans="1:33" x14ac:dyDescent="0.35">
      <c r="A88" s="1">
        <v>1600</v>
      </c>
      <c r="B88" s="1">
        <v>49.098182999999999</v>
      </c>
      <c r="C88" s="1">
        <v>67.571343999999996</v>
      </c>
      <c r="D88" s="1">
        <v>117.14581800000001</v>
      </c>
      <c r="E88" s="1">
        <v>-0.64235699999999996</v>
      </c>
      <c r="F88" s="1">
        <v>-0.28276699999999999</v>
      </c>
      <c r="G88" s="1">
        <v>1.6619349999999999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  <c r="AE88" t="s">
        <v>30</v>
      </c>
      <c r="AF88" t="s">
        <v>30</v>
      </c>
      <c r="AG88" t="s">
        <v>30</v>
      </c>
    </row>
    <row r="89" spans="1:33" x14ac:dyDescent="0.35">
      <c r="A89" s="1">
        <v>1620</v>
      </c>
      <c r="B89" s="1">
        <v>49.678390999999998</v>
      </c>
      <c r="C89" s="1">
        <v>64.738968999999997</v>
      </c>
      <c r="D89" s="1">
        <v>117.14581800000001</v>
      </c>
      <c r="E89" s="1">
        <v>-1.0941920000000001</v>
      </c>
      <c r="F89" s="1">
        <v>1.356028</v>
      </c>
      <c r="G89" s="1">
        <v>2.427419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s">
        <v>30</v>
      </c>
      <c r="AF89" t="s">
        <v>30</v>
      </c>
      <c r="AG89" t="s">
        <v>30</v>
      </c>
    </row>
    <row r="90" spans="1:33" x14ac:dyDescent="0.35">
      <c r="A90" s="1">
        <v>1640</v>
      </c>
      <c r="B90" s="1">
        <v>50.267753999999996</v>
      </c>
      <c r="C90" s="1">
        <v>66.287385</v>
      </c>
      <c r="D90" s="1">
        <v>117.14581800000001</v>
      </c>
      <c r="E90" s="1">
        <v>-0.53361599999999998</v>
      </c>
      <c r="F90" s="1">
        <v>-0.79630100000000004</v>
      </c>
      <c r="G90" s="1">
        <v>0.22408900000000001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  <c r="AE90" t="s">
        <v>30</v>
      </c>
      <c r="AF90" t="s">
        <v>30</v>
      </c>
      <c r="AG90" t="s">
        <v>30</v>
      </c>
    </row>
    <row r="91" spans="1:33" x14ac:dyDescent="0.35">
      <c r="A91" s="1">
        <v>1660</v>
      </c>
      <c r="B91" s="1">
        <v>50.877080999999997</v>
      </c>
      <c r="C91" s="1">
        <v>61.835906000000001</v>
      </c>
      <c r="D91" s="1">
        <v>117.14581800000001</v>
      </c>
      <c r="E91" s="1">
        <v>-1.9511689999999999</v>
      </c>
      <c r="F91" s="1">
        <v>-0.16572600000000001</v>
      </c>
      <c r="G91" s="1">
        <v>1.253136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  <c r="AE91" t="s">
        <v>30</v>
      </c>
      <c r="AF91" t="s">
        <v>30</v>
      </c>
      <c r="AG91" t="s">
        <v>30</v>
      </c>
    </row>
    <row r="92" spans="1:33" x14ac:dyDescent="0.35">
      <c r="A92" s="1">
        <v>1680</v>
      </c>
      <c r="B92" s="1">
        <v>51.573557999999998</v>
      </c>
      <c r="C92" s="1">
        <v>67.648826999999997</v>
      </c>
      <c r="D92" s="1">
        <v>117.14581800000001</v>
      </c>
      <c r="E92" s="1">
        <v>-0.393289</v>
      </c>
      <c r="F92" s="1">
        <v>-0.168015</v>
      </c>
      <c r="G92" s="1">
        <v>-1.079224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  <c r="AE92" t="s">
        <v>30</v>
      </c>
      <c r="AF92" t="s">
        <v>30</v>
      </c>
      <c r="AG92" t="s">
        <v>30</v>
      </c>
    </row>
    <row r="93" spans="1:33" x14ac:dyDescent="0.35">
      <c r="A93" s="1">
        <v>1700</v>
      </c>
      <c r="B93" s="1">
        <v>52.174469999999999</v>
      </c>
      <c r="C93" s="1">
        <v>75.946515000000005</v>
      </c>
      <c r="D93" s="1">
        <v>117.14581800000001</v>
      </c>
      <c r="E93" s="1">
        <v>0.87590800000000002</v>
      </c>
      <c r="F93" s="1">
        <v>0.646513</v>
      </c>
      <c r="G93" s="1">
        <v>-3.543374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  <c r="AE93" t="s">
        <v>30</v>
      </c>
      <c r="AF93" t="s">
        <v>30</v>
      </c>
      <c r="AG93" t="s">
        <v>30</v>
      </c>
    </row>
    <row r="94" spans="1:33" x14ac:dyDescent="0.35">
      <c r="A94" s="1">
        <v>1720</v>
      </c>
      <c r="B94" s="1">
        <v>52.787250999999998</v>
      </c>
      <c r="C94" s="1">
        <v>61.566859000000001</v>
      </c>
      <c r="D94" s="1">
        <v>117.14581800000001</v>
      </c>
      <c r="E94" s="1">
        <v>0.55488499999999996</v>
      </c>
      <c r="F94" s="1">
        <v>-0.101447</v>
      </c>
      <c r="G94" s="1">
        <v>0.73194099999999995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  <c r="AE94" t="s">
        <v>30</v>
      </c>
      <c r="AF94" t="s">
        <v>30</v>
      </c>
      <c r="AG94" t="s">
        <v>30</v>
      </c>
    </row>
    <row r="95" spans="1:33" x14ac:dyDescent="0.35">
      <c r="A95" s="1">
        <v>1740</v>
      </c>
      <c r="B95" s="1">
        <v>53.395788000000003</v>
      </c>
      <c r="C95" s="1">
        <v>76.657126000000005</v>
      </c>
      <c r="D95" s="1">
        <v>117.14581800000001</v>
      </c>
      <c r="E95" s="1">
        <v>0.19761600000000001</v>
      </c>
      <c r="F95" s="1">
        <v>-2.5438550000000002</v>
      </c>
      <c r="G95" s="1">
        <v>-2.1785679999999998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s">
        <v>30</v>
      </c>
      <c r="AF95" t="s">
        <v>30</v>
      </c>
      <c r="AG95" t="s">
        <v>30</v>
      </c>
    </row>
    <row r="96" spans="1:33" x14ac:dyDescent="0.35">
      <c r="A96" s="1">
        <v>1760</v>
      </c>
      <c r="B96" s="1">
        <v>53.983229999999999</v>
      </c>
      <c r="C96" s="1">
        <v>72.730018999999999</v>
      </c>
      <c r="D96" s="1">
        <v>117.14581800000001</v>
      </c>
      <c r="E96" s="1">
        <v>-2.7980589999999999</v>
      </c>
      <c r="F96" s="1">
        <v>2.0207320000000002</v>
      </c>
      <c r="G96" s="1">
        <v>2.224761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  <c r="AE96" t="s">
        <v>30</v>
      </c>
      <c r="AF96" t="s">
        <v>30</v>
      </c>
      <c r="AG96" t="s">
        <v>30</v>
      </c>
    </row>
    <row r="97" spans="1:33" x14ac:dyDescent="0.35">
      <c r="A97" s="1">
        <v>1780</v>
      </c>
      <c r="B97" s="1">
        <v>54.602671000000001</v>
      </c>
      <c r="C97" s="1">
        <v>74.327877999999998</v>
      </c>
      <c r="D97" s="1">
        <v>117.14581800000001</v>
      </c>
      <c r="E97" s="1">
        <v>-1.0351950000000001</v>
      </c>
      <c r="F97" s="1">
        <v>-2.3160099999999999</v>
      </c>
      <c r="G97" s="1">
        <v>0.71532899999999999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  <c r="AE97" t="s">
        <v>30</v>
      </c>
      <c r="AF97" t="s">
        <v>30</v>
      </c>
      <c r="AG97" t="s">
        <v>30</v>
      </c>
    </row>
    <row r="98" spans="1:33" x14ac:dyDescent="0.35">
      <c r="A98" s="1">
        <v>1800</v>
      </c>
      <c r="B98" s="1">
        <v>55.207149999999999</v>
      </c>
      <c r="C98" s="1">
        <v>64.344854999999995</v>
      </c>
      <c r="D98" s="1">
        <v>117.14581800000001</v>
      </c>
      <c r="E98" s="1">
        <v>1.070838</v>
      </c>
      <c r="F98" s="1">
        <v>0.12745899999999999</v>
      </c>
      <c r="G98" s="1">
        <v>0.76873800000000003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  <c r="AE98" t="s">
        <v>30</v>
      </c>
      <c r="AF98" t="s">
        <v>30</v>
      </c>
      <c r="AG98" t="s">
        <v>30</v>
      </c>
    </row>
    <row r="99" spans="1:33" x14ac:dyDescent="0.35">
      <c r="A99" s="1">
        <v>1820</v>
      </c>
      <c r="B99" s="1">
        <v>55.798853000000001</v>
      </c>
      <c r="C99" s="1">
        <v>66.012347000000005</v>
      </c>
      <c r="D99" s="1">
        <v>117.14581800000001</v>
      </c>
      <c r="E99" s="1">
        <v>1.0382629999999999</v>
      </c>
      <c r="F99" s="1">
        <v>1.752739</v>
      </c>
      <c r="G99" s="1">
        <v>-0.43785499999999999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s">
        <v>30</v>
      </c>
      <c r="AF99" t="s">
        <v>30</v>
      </c>
      <c r="AG99" t="s">
        <v>30</v>
      </c>
    </row>
    <row r="100" spans="1:33" x14ac:dyDescent="0.35">
      <c r="A100" s="1">
        <v>1840</v>
      </c>
      <c r="B100" s="1">
        <v>56.368982000000003</v>
      </c>
      <c r="C100" s="1">
        <v>57.754120999999998</v>
      </c>
      <c r="D100" s="1">
        <v>117.14581800000001</v>
      </c>
      <c r="E100" s="1">
        <v>2.5709430000000002</v>
      </c>
      <c r="F100" s="1">
        <v>0.84048199999999995</v>
      </c>
      <c r="G100" s="1">
        <v>-0.151141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  <c r="AE100" t="s">
        <v>30</v>
      </c>
      <c r="AF100" t="s">
        <v>30</v>
      </c>
      <c r="AG100" t="s">
        <v>30</v>
      </c>
    </row>
    <row r="101" spans="1:33" x14ac:dyDescent="0.35">
      <c r="A101" s="1">
        <v>1860</v>
      </c>
      <c r="B101" s="1">
        <v>56.992941999999999</v>
      </c>
      <c r="C101" s="1">
        <v>57.207341</v>
      </c>
      <c r="D101" s="1">
        <v>117.14581800000001</v>
      </c>
      <c r="E101" s="1">
        <v>-6.2413000000000003E-2</v>
      </c>
      <c r="F101" s="1">
        <v>-0.41820499999999999</v>
      </c>
      <c r="G101" s="1">
        <v>-0.368062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  <c r="AE101" t="s">
        <v>30</v>
      </c>
      <c r="AF101" t="s">
        <v>30</v>
      </c>
      <c r="AG101" t="s">
        <v>30</v>
      </c>
    </row>
    <row r="102" spans="1:33" x14ac:dyDescent="0.35">
      <c r="A102" s="1">
        <v>1880</v>
      </c>
      <c r="B102" s="1">
        <v>57.620978000000001</v>
      </c>
      <c r="C102" s="1">
        <v>64.077218999999999</v>
      </c>
      <c r="D102" s="1">
        <v>117.14581800000001</v>
      </c>
      <c r="E102" s="1">
        <v>-1.7496370000000001</v>
      </c>
      <c r="F102" s="1">
        <v>0.520845</v>
      </c>
      <c r="G102" s="1">
        <v>0.56748799999999999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  <c r="AE102" t="s">
        <v>30</v>
      </c>
      <c r="AF102" t="s">
        <v>30</v>
      </c>
      <c r="AG102" t="s">
        <v>30</v>
      </c>
    </row>
    <row r="103" spans="1:33" x14ac:dyDescent="0.35">
      <c r="A103" s="1">
        <v>1900</v>
      </c>
      <c r="B103" s="1">
        <v>58.240613000000003</v>
      </c>
      <c r="C103" s="1">
        <v>63.198723000000001</v>
      </c>
      <c r="D103" s="1">
        <v>117.14581800000001</v>
      </c>
      <c r="E103" s="1">
        <v>0.264741</v>
      </c>
      <c r="F103" s="1">
        <v>-0.55182900000000001</v>
      </c>
      <c r="G103" s="1">
        <v>-2.0927820000000001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  <c r="AE103" t="s">
        <v>30</v>
      </c>
      <c r="AF103" t="s">
        <v>30</v>
      </c>
      <c r="AG103" t="s">
        <v>30</v>
      </c>
    </row>
    <row r="104" spans="1:33" x14ac:dyDescent="0.35">
      <c r="A104" s="1">
        <v>1920</v>
      </c>
      <c r="B104" s="1">
        <v>58.897205</v>
      </c>
      <c r="C104" s="1">
        <v>70.355328</v>
      </c>
      <c r="D104" s="1">
        <v>117.14581800000001</v>
      </c>
      <c r="E104" s="1">
        <v>0.334144</v>
      </c>
      <c r="F104" s="1">
        <v>-0.76117100000000004</v>
      </c>
      <c r="G104" s="1">
        <v>2.291579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  <c r="AE104" t="s">
        <v>30</v>
      </c>
      <c r="AF104" t="s">
        <v>30</v>
      </c>
      <c r="AG104" t="s">
        <v>30</v>
      </c>
    </row>
    <row r="105" spans="1:33" x14ac:dyDescent="0.35">
      <c r="A105" s="1">
        <v>1940</v>
      </c>
      <c r="B105" s="1">
        <v>59.507593</v>
      </c>
      <c r="C105" s="1">
        <v>61.500200999999997</v>
      </c>
      <c r="D105" s="1">
        <v>117.14581800000001</v>
      </c>
      <c r="E105" s="1">
        <v>-0.41798999999999997</v>
      </c>
      <c r="F105" s="1">
        <v>1.946054</v>
      </c>
      <c r="G105" s="1">
        <v>4.4810000000000003E-2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s">
        <v>30</v>
      </c>
      <c r="AF105" t="s">
        <v>30</v>
      </c>
      <c r="AG105" t="s">
        <v>30</v>
      </c>
    </row>
    <row r="106" spans="1:33" x14ac:dyDescent="0.35">
      <c r="A106" s="1">
        <v>1960</v>
      </c>
      <c r="B106" s="1">
        <v>60.104590999999999</v>
      </c>
      <c r="C106" s="1">
        <v>76.352759000000006</v>
      </c>
      <c r="D106" s="1">
        <v>117.14581800000001</v>
      </c>
      <c r="E106" s="1">
        <v>-0.108568</v>
      </c>
      <c r="F106" s="1">
        <v>-3.4404970000000001</v>
      </c>
      <c r="G106" s="1">
        <v>-0.58159499999999997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  <c r="AE106" t="s">
        <v>30</v>
      </c>
      <c r="AF106" t="s">
        <v>30</v>
      </c>
      <c r="AG106" t="s">
        <v>30</v>
      </c>
    </row>
    <row r="107" spans="1:33" x14ac:dyDescent="0.35">
      <c r="A107" s="1">
        <v>1980</v>
      </c>
      <c r="B107" s="1">
        <v>60.696812999999999</v>
      </c>
      <c r="C107" s="1">
        <v>67.978498999999999</v>
      </c>
      <c r="D107" s="1">
        <v>117.14581800000001</v>
      </c>
      <c r="E107" s="1">
        <v>-1.4092260000000001</v>
      </c>
      <c r="F107" s="1">
        <v>1.17692</v>
      </c>
      <c r="G107" s="1">
        <v>-1.1079969999999999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s">
        <v>30</v>
      </c>
      <c r="AF107" t="s">
        <v>30</v>
      </c>
      <c r="AG107" t="s">
        <v>30</v>
      </c>
    </row>
    <row r="108" spans="1:33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  <c r="AE108" t="s">
        <v>30</v>
      </c>
      <c r="AF108" t="s">
        <v>30</v>
      </c>
      <c r="AG108" t="s">
        <v>30</v>
      </c>
    </row>
    <row r="109" spans="1:33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s">
        <v>30</v>
      </c>
      <c r="AF109" t="s">
        <v>30</v>
      </c>
      <c r="AG109" t="s">
        <v>30</v>
      </c>
    </row>
    <row r="110" spans="1:33" x14ac:dyDescent="0.35">
      <c r="A110" t="s">
        <v>42</v>
      </c>
      <c r="B110" s="1">
        <v>1</v>
      </c>
      <c r="C110" s="1">
        <v>10</v>
      </c>
      <c r="D110" s="1">
        <v>39</v>
      </c>
      <c r="E110" s="1">
        <v>49</v>
      </c>
      <c r="F110" s="1">
        <v>83</v>
      </c>
      <c r="G110" s="1">
        <v>117</v>
      </c>
      <c r="H110" s="1">
        <v>140</v>
      </c>
      <c r="I110" s="1">
        <v>161</v>
      </c>
      <c r="J110" s="1">
        <v>169</v>
      </c>
      <c r="K110" s="1">
        <v>198</v>
      </c>
      <c r="L110" s="1">
        <v>173</v>
      </c>
      <c r="M110" s="1">
        <v>128</v>
      </c>
      <c r="N110" s="1">
        <v>131</v>
      </c>
      <c r="O110" s="1">
        <v>127</v>
      </c>
      <c r="P110" s="1">
        <v>105</v>
      </c>
      <c r="Q110" s="1">
        <v>94</v>
      </c>
      <c r="R110" s="1">
        <v>67</v>
      </c>
      <c r="S110" s="1">
        <v>64</v>
      </c>
      <c r="T110" s="1">
        <v>35</v>
      </c>
      <c r="U110" s="1">
        <v>41</v>
      </c>
      <c r="V110" s="1">
        <v>21</v>
      </c>
      <c r="W110" s="1">
        <v>16</v>
      </c>
      <c r="X110" s="1">
        <v>13</v>
      </c>
      <c r="Y110" s="1">
        <v>7</v>
      </c>
      <c r="Z110" s="1">
        <v>6</v>
      </c>
      <c r="AA110" s="1">
        <v>0</v>
      </c>
      <c r="AB110" s="1">
        <v>3</v>
      </c>
      <c r="AC110" s="1">
        <v>1</v>
      </c>
      <c r="AD110" s="1">
        <v>0</v>
      </c>
      <c r="AE110" s="1">
        <v>0</v>
      </c>
      <c r="AF110" s="1">
        <v>0</v>
      </c>
      <c r="AG110" s="1">
        <v>1</v>
      </c>
    </row>
    <row r="111" spans="1:33" x14ac:dyDescent="0.35">
      <c r="B111" t="str">
        <f>(COLUMN()-2)*$B$109&amp;"–"&amp;((COLUMN()-1)*$B$109)</f>
        <v>0–10</v>
      </c>
      <c r="C111" t="str">
        <f t="shared" ref="C111:AB111" si="0">(COLUMN()-2)*$B$109&amp;"–"&amp;((COLUMN()-1)*$B$109)</f>
        <v>10–20</v>
      </c>
      <c r="D111" t="str">
        <f t="shared" si="0"/>
        <v>20–30</v>
      </c>
      <c r="E111" t="str">
        <f t="shared" si="0"/>
        <v>30–40</v>
      </c>
      <c r="F111" t="str">
        <f t="shared" si="0"/>
        <v>40–50</v>
      </c>
      <c r="G111" t="str">
        <f t="shared" si="0"/>
        <v>50–60</v>
      </c>
      <c r="H111" t="str">
        <f t="shared" si="0"/>
        <v>60–70</v>
      </c>
      <c r="I111" t="str">
        <f t="shared" si="0"/>
        <v>70–80</v>
      </c>
      <c r="J111" t="str">
        <f t="shared" si="0"/>
        <v>80–90</v>
      </c>
      <c r="K111" t="str">
        <f t="shared" si="0"/>
        <v>90–100</v>
      </c>
      <c r="L111" t="str">
        <f t="shared" si="0"/>
        <v>100–110</v>
      </c>
      <c r="M111" t="str">
        <f t="shared" si="0"/>
        <v>110–120</v>
      </c>
      <c r="N111" t="str">
        <f t="shared" si="0"/>
        <v>120–130</v>
      </c>
      <c r="O111" t="str">
        <f t="shared" si="0"/>
        <v>130–140</v>
      </c>
      <c r="P111" t="str">
        <f t="shared" si="0"/>
        <v>140–150</v>
      </c>
      <c r="Q111" t="str">
        <f t="shared" si="0"/>
        <v>150–160</v>
      </c>
      <c r="R111" t="str">
        <f t="shared" si="0"/>
        <v>160–170</v>
      </c>
      <c r="S111" t="str">
        <f t="shared" si="0"/>
        <v>170–180</v>
      </c>
      <c r="T111" t="str">
        <f t="shared" si="0"/>
        <v>180–190</v>
      </c>
      <c r="U111" t="str">
        <f t="shared" si="0"/>
        <v>190–200</v>
      </c>
      <c r="V111" t="str">
        <f t="shared" si="0"/>
        <v>200–210</v>
      </c>
      <c r="W111" t="str">
        <f t="shared" si="0"/>
        <v>210–220</v>
      </c>
      <c r="X111" t="str">
        <f t="shared" si="0"/>
        <v>220–230</v>
      </c>
      <c r="Y111" t="str">
        <f t="shared" si="0"/>
        <v>230–240</v>
      </c>
      <c r="Z111" t="str">
        <f t="shared" si="0"/>
        <v>240–250</v>
      </c>
      <c r="AA111" t="str">
        <f t="shared" si="0"/>
        <v>250–260</v>
      </c>
      <c r="AB111" t="str">
        <f t="shared" si="0"/>
        <v>260–270</v>
      </c>
      <c r="AC111" t="str">
        <f>(COLUMN()-2)*$B$109&amp;"–"&amp;((COLUMN()-1)*$B$109)</f>
        <v>270–280</v>
      </c>
      <c r="AD111" t="str">
        <f>(COLUMN()-2)*$B$109&amp;"–"&amp;((COLUMN()-1)*$B$109)</f>
        <v>280–290</v>
      </c>
      <c r="AE111" t="str">
        <f>(COLUMN()-2)*$B$109&amp;"–"&amp;((COLUMN()-1)*$B$109)</f>
        <v>290–300</v>
      </c>
      <c r="AF111" t="str">
        <f t="shared" ref="AF111:AG111" si="1">(COLUMN()-2)*$B$109&amp;"–"&amp;((COLUMN()-1)*$B$109)</f>
        <v>300–310</v>
      </c>
      <c r="AG111" t="str">
        <f t="shared" si="1"/>
        <v>310–320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6AEC-1011-44F8-9C1E-B9CB84725550}">
  <dimension ref="A1:AD111"/>
  <sheetViews>
    <sheetView zoomScaleNormal="100" workbookViewId="0">
      <selection activeCell="D2" sqref="D2:E2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30" width="11.542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43</v>
      </c>
    </row>
    <row r="2" spans="1:30" x14ac:dyDescent="0.35">
      <c r="A2" t="s">
        <v>29</v>
      </c>
      <c r="B2" s="1">
        <v>2</v>
      </c>
      <c r="C2" t="s">
        <v>30</v>
      </c>
      <c r="D2" t="s">
        <v>47</v>
      </c>
      <c r="E2">
        <f>AVERAGE(C11:C107)</f>
        <v>107.4825174639175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 spans="1:30" x14ac:dyDescent="0.35">
      <c r="A3" t="s">
        <v>31</v>
      </c>
      <c r="B3" s="1">
        <v>2000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 spans="1:30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35">
      <c r="A5" t="s">
        <v>33</v>
      </c>
      <c r="B5" s="1">
        <v>1000000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</row>
    <row r="7" spans="1:30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</row>
    <row r="8" spans="1:30" x14ac:dyDescent="0.35">
      <c r="A8" s="1">
        <v>0</v>
      </c>
      <c r="B8" s="1">
        <v>1.3676000000000001E-2</v>
      </c>
      <c r="C8" s="1">
        <v>0</v>
      </c>
      <c r="D8" s="1">
        <v>115.05387899999999</v>
      </c>
      <c r="E8" s="1">
        <v>99.805030000000002</v>
      </c>
      <c r="F8" s="1">
        <v>0</v>
      </c>
      <c r="G8" s="1">
        <v>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 spans="1:30" x14ac:dyDescent="0.35">
      <c r="A9" s="1">
        <v>20</v>
      </c>
      <c r="B9" s="1">
        <v>0.78102300000000002</v>
      </c>
      <c r="C9" s="1">
        <v>168.19821099999999</v>
      </c>
      <c r="D9" s="1">
        <v>115.05387899999999</v>
      </c>
      <c r="E9" s="1">
        <v>-38.102186000000003</v>
      </c>
      <c r="F9" s="1">
        <v>-2.3865419999999999</v>
      </c>
      <c r="G9" s="1">
        <v>-2.8859780000000002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35">
      <c r="A10" s="1">
        <v>40</v>
      </c>
      <c r="B10" s="1">
        <v>1.4622310000000001</v>
      </c>
      <c r="C10" s="1">
        <v>98.710843999999994</v>
      </c>
      <c r="D10" s="1">
        <v>115.05387899999999</v>
      </c>
      <c r="E10" s="1">
        <v>-0.38833099999999998</v>
      </c>
      <c r="F10" s="1">
        <v>-1.8470040000000001</v>
      </c>
      <c r="G10" s="1">
        <v>-0.74990199999999996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 spans="1:30" x14ac:dyDescent="0.35">
      <c r="A11" s="1">
        <v>60</v>
      </c>
      <c r="B11" s="1">
        <v>2.0623619999999998</v>
      </c>
      <c r="C11" s="1">
        <v>116.46485199999999</v>
      </c>
      <c r="D11" s="1">
        <v>115.05387899999999</v>
      </c>
      <c r="E11" s="1">
        <v>0.95840199999999998</v>
      </c>
      <c r="F11" s="1">
        <v>-0.54352</v>
      </c>
      <c r="G11" s="1">
        <v>-0.33229799999999998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35">
      <c r="A12" s="1">
        <v>80</v>
      </c>
      <c r="B12" s="1">
        <v>2.6873279999999999</v>
      </c>
      <c r="C12" s="1">
        <v>106.141116</v>
      </c>
      <c r="D12" s="1">
        <v>115.05387899999999</v>
      </c>
      <c r="E12" s="1">
        <v>-2.3190499999999998</v>
      </c>
      <c r="F12" s="1">
        <v>1.432852</v>
      </c>
      <c r="G12" s="1">
        <v>0.82029300000000005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 spans="1:30" x14ac:dyDescent="0.35">
      <c r="A13" s="1">
        <v>100</v>
      </c>
      <c r="B13" s="1">
        <v>3.3714089999999999</v>
      </c>
      <c r="C13" s="1">
        <v>108.61237</v>
      </c>
      <c r="D13" s="1">
        <v>115.05387899999999</v>
      </c>
      <c r="E13" s="1">
        <v>3.0330759999999999</v>
      </c>
      <c r="F13" s="1">
        <v>-1.6934819999999999</v>
      </c>
      <c r="G13" s="1">
        <v>0.46927400000000002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 spans="1:30" x14ac:dyDescent="0.35">
      <c r="A14" s="1">
        <v>120</v>
      </c>
      <c r="B14" s="1">
        <v>3.9784169999999999</v>
      </c>
      <c r="C14" s="1">
        <v>114.874387</v>
      </c>
      <c r="D14" s="1">
        <v>115.05387899999999</v>
      </c>
      <c r="E14" s="1">
        <v>-1.2578240000000001</v>
      </c>
      <c r="F14" s="1">
        <v>0.88473599999999997</v>
      </c>
      <c r="G14" s="1">
        <v>-0.20027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</row>
    <row r="15" spans="1:30" x14ac:dyDescent="0.35">
      <c r="A15" s="1">
        <v>140</v>
      </c>
      <c r="B15" s="1">
        <v>4.6071720000000003</v>
      </c>
      <c r="C15" s="1">
        <v>116.744423</v>
      </c>
      <c r="D15" s="1">
        <v>115.05387899999999</v>
      </c>
      <c r="E15" s="1">
        <v>-0.69990699999999995</v>
      </c>
      <c r="F15" s="1">
        <v>0.41347899999999999</v>
      </c>
      <c r="G15" s="1">
        <v>0.99820699999999996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</row>
    <row r="16" spans="1:30" x14ac:dyDescent="0.35">
      <c r="A16" s="1">
        <v>160</v>
      </c>
      <c r="B16" s="1">
        <v>5.2012270000000003</v>
      </c>
      <c r="C16" s="1">
        <v>127.837231</v>
      </c>
      <c r="D16" s="1">
        <v>115.05387899999999</v>
      </c>
      <c r="E16" s="1">
        <v>-0.47099000000000002</v>
      </c>
      <c r="F16" s="1">
        <v>-2.4025370000000001</v>
      </c>
      <c r="G16" s="1">
        <v>-1.5027779999999999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  <row r="17" spans="1:30" x14ac:dyDescent="0.35">
      <c r="A17" s="1">
        <v>180</v>
      </c>
      <c r="B17" s="1">
        <v>5.779191</v>
      </c>
      <c r="C17" s="1">
        <v>107.833859</v>
      </c>
      <c r="D17" s="1">
        <v>115.05387899999999</v>
      </c>
      <c r="E17" s="1">
        <v>1.1576900000000001</v>
      </c>
      <c r="F17" s="1">
        <v>0.82429799999999998</v>
      </c>
      <c r="G17" s="1">
        <v>-0.36680400000000002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</row>
    <row r="18" spans="1:30" x14ac:dyDescent="0.35">
      <c r="A18" s="1">
        <v>200</v>
      </c>
      <c r="B18" s="1">
        <v>6.3577669999999999</v>
      </c>
      <c r="C18" s="1">
        <v>116.142692</v>
      </c>
      <c r="D18" s="1">
        <v>115.05387899999999</v>
      </c>
      <c r="E18" s="1">
        <v>0.32832499999999998</v>
      </c>
      <c r="F18" s="1">
        <v>2.3615590000000002</v>
      </c>
      <c r="G18" s="1">
        <v>1.171991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</row>
    <row r="19" spans="1:30" x14ac:dyDescent="0.35">
      <c r="A19" s="1">
        <v>220</v>
      </c>
      <c r="B19" s="1">
        <v>6.9709260000000004</v>
      </c>
      <c r="C19" s="1">
        <v>120.152428</v>
      </c>
      <c r="D19" s="1">
        <v>115.05387899999999</v>
      </c>
      <c r="E19" s="1">
        <v>-0.388845</v>
      </c>
      <c r="F19" s="1">
        <v>1.0123260000000001</v>
      </c>
      <c r="G19" s="1">
        <v>0.30126700000000001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</row>
    <row r="20" spans="1:30" x14ac:dyDescent="0.35">
      <c r="A20" s="1">
        <v>240</v>
      </c>
      <c r="B20" s="1">
        <v>7.5342320000000003</v>
      </c>
      <c r="C20" s="1">
        <v>118.844919</v>
      </c>
      <c r="D20" s="1">
        <v>115.05387899999999</v>
      </c>
      <c r="E20" s="1">
        <v>0.75371200000000005</v>
      </c>
      <c r="F20" s="1">
        <v>0.88654900000000003</v>
      </c>
      <c r="G20" s="1">
        <v>-0.93371000000000004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</row>
    <row r="21" spans="1:30" x14ac:dyDescent="0.35">
      <c r="A21" s="1">
        <v>260</v>
      </c>
      <c r="B21" s="1">
        <v>8.1242389999999993</v>
      </c>
      <c r="C21" s="1">
        <v>117.181091</v>
      </c>
      <c r="D21" s="1">
        <v>115.05387899999999</v>
      </c>
      <c r="E21" s="1">
        <v>1.4001840000000001</v>
      </c>
      <c r="F21" s="1">
        <v>-0.95451200000000003</v>
      </c>
      <c r="G21" s="1">
        <v>-0.84137300000000004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</row>
    <row r="22" spans="1:30" x14ac:dyDescent="0.35">
      <c r="A22" s="1">
        <v>280</v>
      </c>
      <c r="B22" s="1">
        <v>8.7162269999999999</v>
      </c>
      <c r="C22" s="1">
        <v>103.55384599999999</v>
      </c>
      <c r="D22" s="1">
        <v>115.05387899999999</v>
      </c>
      <c r="E22" s="1">
        <v>0.484794</v>
      </c>
      <c r="F22" s="1">
        <v>-0.29104000000000002</v>
      </c>
      <c r="G22" s="1">
        <v>2.3440810000000001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</row>
    <row r="23" spans="1:30" x14ac:dyDescent="0.35">
      <c r="A23" s="1">
        <v>300</v>
      </c>
      <c r="B23" s="1">
        <v>9.3320900000000009</v>
      </c>
      <c r="C23" s="1">
        <v>96.254446999999999</v>
      </c>
      <c r="D23" s="1">
        <v>115.05387899999999</v>
      </c>
      <c r="E23" s="1">
        <v>-2.58351</v>
      </c>
      <c r="F23" s="1">
        <v>-1.505765</v>
      </c>
      <c r="G23" s="1">
        <v>1.286872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</row>
    <row r="24" spans="1:30" x14ac:dyDescent="0.35">
      <c r="A24" s="1">
        <v>320</v>
      </c>
      <c r="B24" s="1">
        <v>9.9562439999999999</v>
      </c>
      <c r="C24" s="1">
        <v>111.993325</v>
      </c>
      <c r="D24" s="1">
        <v>115.05387899999999</v>
      </c>
      <c r="E24" s="1">
        <v>1.604781</v>
      </c>
      <c r="F24" s="1">
        <v>-7.1568000000000007E-2</v>
      </c>
      <c r="G24" s="1">
        <v>-1.221597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</row>
    <row r="25" spans="1:30" x14ac:dyDescent="0.35">
      <c r="A25" s="1">
        <v>340</v>
      </c>
      <c r="B25" s="1">
        <v>10.675542</v>
      </c>
      <c r="C25" s="1">
        <v>96.288404999999997</v>
      </c>
      <c r="D25" s="1">
        <v>115.05387899999999</v>
      </c>
      <c r="E25" s="1">
        <v>2.8950640000000001</v>
      </c>
      <c r="F25" s="1">
        <v>0.75514099999999995</v>
      </c>
      <c r="G25" s="1">
        <v>2.1528849999999999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</row>
    <row r="26" spans="1:30" x14ac:dyDescent="0.35">
      <c r="A26" s="1">
        <v>360</v>
      </c>
      <c r="B26" s="1">
        <v>11.287533</v>
      </c>
      <c r="C26" s="1">
        <v>124.900604</v>
      </c>
      <c r="D26" s="1">
        <v>115.05387899999999</v>
      </c>
      <c r="E26" s="1">
        <v>-2.5702060000000002</v>
      </c>
      <c r="F26" s="1">
        <v>-0.107026</v>
      </c>
      <c r="G26" s="1">
        <v>-0.35615000000000002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</row>
    <row r="27" spans="1:30" x14ac:dyDescent="0.35">
      <c r="A27" s="1">
        <v>380</v>
      </c>
      <c r="B27" s="1">
        <v>11.883658</v>
      </c>
      <c r="C27" s="1">
        <v>102.320446</v>
      </c>
      <c r="D27" s="1">
        <v>115.05387899999999</v>
      </c>
      <c r="E27" s="1">
        <v>0.55951399999999996</v>
      </c>
      <c r="F27" s="1">
        <v>-0.48751899999999998</v>
      </c>
      <c r="G27" s="1">
        <v>-1.0021610000000001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</row>
    <row r="28" spans="1:30" x14ac:dyDescent="0.35">
      <c r="A28" s="1">
        <v>400</v>
      </c>
      <c r="B28" s="1">
        <v>12.478455</v>
      </c>
      <c r="C28" s="1">
        <v>118.14993200000001</v>
      </c>
      <c r="D28" s="1">
        <v>115.05387899999999</v>
      </c>
      <c r="E28" s="1">
        <v>-1.840355</v>
      </c>
      <c r="F28" s="1">
        <v>-0.70794299999999999</v>
      </c>
      <c r="G28" s="1">
        <v>3.451911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</row>
    <row r="29" spans="1:30" x14ac:dyDescent="0.35">
      <c r="A29" s="1">
        <v>420</v>
      </c>
      <c r="B29" s="1">
        <v>13.048173999999999</v>
      </c>
      <c r="C29" s="1">
        <v>117.37419300000001</v>
      </c>
      <c r="D29" s="1">
        <v>115.05387899999999</v>
      </c>
      <c r="E29" s="1">
        <v>-0.56028</v>
      </c>
      <c r="F29" s="1">
        <v>2.0480659999999999</v>
      </c>
      <c r="G29" s="1">
        <v>-2.033817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</row>
    <row r="30" spans="1:30" x14ac:dyDescent="0.35">
      <c r="A30" s="1">
        <v>440</v>
      </c>
      <c r="B30" s="1">
        <v>13.647797000000001</v>
      </c>
      <c r="C30" s="1">
        <v>118.223975</v>
      </c>
      <c r="D30" s="1">
        <v>115.05387899999999</v>
      </c>
      <c r="E30" s="1">
        <v>0.11889</v>
      </c>
      <c r="F30" s="1">
        <v>0.65715599999999996</v>
      </c>
      <c r="G30" s="1">
        <v>-1.2853600000000001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</row>
    <row r="31" spans="1:30" x14ac:dyDescent="0.35">
      <c r="A31" s="1">
        <v>460</v>
      </c>
      <c r="B31" s="1">
        <v>14.234413</v>
      </c>
      <c r="C31" s="1">
        <v>103.454335</v>
      </c>
      <c r="D31" s="1">
        <v>115.05387899999999</v>
      </c>
      <c r="E31" s="1">
        <v>0.88300699999999999</v>
      </c>
      <c r="F31" s="1">
        <v>0.63624000000000003</v>
      </c>
      <c r="G31" s="1">
        <v>-0.754776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</row>
    <row r="32" spans="1:30" x14ac:dyDescent="0.35">
      <c r="A32" s="1">
        <v>480</v>
      </c>
      <c r="B32" s="1">
        <v>14.854181000000001</v>
      </c>
      <c r="C32" s="1">
        <v>121.03317300000001</v>
      </c>
      <c r="D32" s="1">
        <v>115.05387899999999</v>
      </c>
      <c r="E32" s="1">
        <v>-0.59038400000000002</v>
      </c>
      <c r="F32" s="1">
        <v>1.2043429999999999</v>
      </c>
      <c r="G32" s="1">
        <v>0.61572400000000005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</row>
    <row r="33" spans="1:30" x14ac:dyDescent="0.35">
      <c r="A33" s="1">
        <v>500</v>
      </c>
      <c r="B33" s="1">
        <v>15.436598</v>
      </c>
      <c r="C33" s="1">
        <v>110.816971</v>
      </c>
      <c r="D33" s="1">
        <v>115.05387899999999</v>
      </c>
      <c r="E33" s="1">
        <v>-0.77058700000000002</v>
      </c>
      <c r="F33" s="1">
        <v>-0.311998</v>
      </c>
      <c r="G33" s="1">
        <v>0.82753600000000005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</row>
    <row r="34" spans="1:30" x14ac:dyDescent="0.35">
      <c r="A34" s="1">
        <v>520</v>
      </c>
      <c r="B34" s="1">
        <v>16.007231000000001</v>
      </c>
      <c r="C34" s="1">
        <v>108.391677</v>
      </c>
      <c r="D34" s="1">
        <v>115.05387899999999</v>
      </c>
      <c r="E34" s="1">
        <v>0.76756199999999997</v>
      </c>
      <c r="F34" s="1">
        <v>-0.21193300000000001</v>
      </c>
      <c r="G34" s="1">
        <v>-1.236837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</row>
    <row r="35" spans="1:30" x14ac:dyDescent="0.35">
      <c r="A35" s="1">
        <v>540</v>
      </c>
      <c r="B35" s="1">
        <v>16.611360000000001</v>
      </c>
      <c r="C35" s="1">
        <v>110.585781</v>
      </c>
      <c r="D35" s="1">
        <v>115.05387899999999</v>
      </c>
      <c r="E35" s="1">
        <v>0.821739</v>
      </c>
      <c r="F35" s="1">
        <v>-1.434302</v>
      </c>
      <c r="G35" s="1">
        <v>3.201743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</row>
    <row r="36" spans="1:30" x14ac:dyDescent="0.35">
      <c r="A36" s="1">
        <v>560</v>
      </c>
      <c r="B36" s="1">
        <v>17.280279</v>
      </c>
      <c r="C36" s="1">
        <v>84.009170999999995</v>
      </c>
      <c r="D36" s="1">
        <v>115.05387899999999</v>
      </c>
      <c r="E36" s="1">
        <v>-0.106263</v>
      </c>
      <c r="F36" s="1">
        <v>-1.5461050000000001</v>
      </c>
      <c r="G36" s="1">
        <v>-0.236208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</row>
    <row r="37" spans="1:30" x14ac:dyDescent="0.35">
      <c r="A37" s="1">
        <v>580</v>
      </c>
      <c r="B37" s="1">
        <v>18.002939000000001</v>
      </c>
      <c r="C37" s="1">
        <v>103.397077</v>
      </c>
      <c r="D37" s="1">
        <v>115.05387899999999</v>
      </c>
      <c r="E37" s="1">
        <v>-3.620803</v>
      </c>
      <c r="F37" s="1">
        <v>1.948099</v>
      </c>
      <c r="G37" s="1">
        <v>-8.5698999999999997E-2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</row>
    <row r="38" spans="1:30" x14ac:dyDescent="0.35">
      <c r="A38" s="1">
        <v>600</v>
      </c>
      <c r="B38" s="1">
        <v>18.752258999999999</v>
      </c>
      <c r="C38" s="1">
        <v>97.066220000000001</v>
      </c>
      <c r="D38" s="1">
        <v>115.05387899999999</v>
      </c>
      <c r="E38" s="1">
        <v>1.2213860000000001</v>
      </c>
      <c r="F38" s="1">
        <v>0.767231</v>
      </c>
      <c r="G38" s="1">
        <v>2.0831059999999999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</row>
    <row r="39" spans="1:30" x14ac:dyDescent="0.35">
      <c r="A39" s="1">
        <v>620</v>
      </c>
      <c r="B39" s="1">
        <v>19.566036</v>
      </c>
      <c r="C39" s="1">
        <v>98.421953000000002</v>
      </c>
      <c r="D39" s="1">
        <v>115.05387899999999</v>
      </c>
      <c r="E39" s="1">
        <v>0.28535100000000002</v>
      </c>
      <c r="F39" s="1">
        <v>1.285749</v>
      </c>
      <c r="G39" s="1">
        <v>1.654239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</row>
    <row r="40" spans="1:30" x14ac:dyDescent="0.35">
      <c r="A40" s="1">
        <v>640</v>
      </c>
      <c r="B40" s="1">
        <v>20.263542999999999</v>
      </c>
      <c r="C40" s="1">
        <v>69.814160999999999</v>
      </c>
      <c r="D40" s="1">
        <v>115.05387899999999</v>
      </c>
      <c r="E40" s="1">
        <v>1.902E-3</v>
      </c>
      <c r="F40" s="1">
        <v>-0.72462199999999999</v>
      </c>
      <c r="G40" s="1">
        <v>-0.81853500000000001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</row>
    <row r="41" spans="1:30" x14ac:dyDescent="0.35">
      <c r="A41" s="1">
        <v>660</v>
      </c>
      <c r="B41" s="1">
        <v>20.984423</v>
      </c>
      <c r="C41" s="1">
        <v>107.93894400000001</v>
      </c>
      <c r="D41" s="1">
        <v>115.05387899999999</v>
      </c>
      <c r="E41" s="1">
        <v>-1.3939760000000001</v>
      </c>
      <c r="F41" s="1">
        <v>-0.88621499999999997</v>
      </c>
      <c r="G41" s="1">
        <v>-2.5335209999999999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</row>
    <row r="42" spans="1:30" x14ac:dyDescent="0.35">
      <c r="A42" s="1">
        <v>680</v>
      </c>
      <c r="B42" s="1">
        <v>21.704131</v>
      </c>
      <c r="C42" s="1">
        <v>106.638417</v>
      </c>
      <c r="D42" s="1">
        <v>115.05387899999999</v>
      </c>
      <c r="E42" s="1">
        <v>1.4877659999999999</v>
      </c>
      <c r="F42" s="1">
        <v>-0.18749399999999999</v>
      </c>
      <c r="G42" s="1">
        <v>0.60877199999999998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</row>
    <row r="43" spans="1:30" x14ac:dyDescent="0.35">
      <c r="A43" s="1">
        <v>700</v>
      </c>
      <c r="B43" s="1">
        <v>22.373070999999999</v>
      </c>
      <c r="C43" s="1">
        <v>92.563485</v>
      </c>
      <c r="D43" s="1">
        <v>115.05387899999999</v>
      </c>
      <c r="E43" s="1">
        <v>-0.98004800000000003</v>
      </c>
      <c r="F43" s="1">
        <v>-0.37483100000000003</v>
      </c>
      <c r="G43" s="1">
        <v>1.003905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</row>
    <row r="44" spans="1:30" x14ac:dyDescent="0.35">
      <c r="A44" s="1">
        <v>720</v>
      </c>
      <c r="B44" s="1">
        <v>22.978238999999999</v>
      </c>
      <c r="C44" s="1">
        <v>110.82575900000001</v>
      </c>
      <c r="D44" s="1">
        <v>115.05387899999999</v>
      </c>
      <c r="E44" s="1">
        <v>-0.74707699999999999</v>
      </c>
      <c r="F44" s="1">
        <v>1.4643839999999999</v>
      </c>
      <c r="G44" s="1">
        <v>-2.5685340000000001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</row>
    <row r="45" spans="1:30" x14ac:dyDescent="0.35">
      <c r="A45" s="1">
        <v>740</v>
      </c>
      <c r="B45" s="1">
        <v>23.626601999999998</v>
      </c>
      <c r="C45" s="1">
        <v>81.376959999999997</v>
      </c>
      <c r="D45" s="1">
        <v>115.05387899999999</v>
      </c>
      <c r="E45" s="1">
        <v>1.235298</v>
      </c>
      <c r="F45" s="1">
        <v>-2.1330290000000001</v>
      </c>
      <c r="G45" s="1">
        <v>0.213364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</row>
    <row r="46" spans="1:30" x14ac:dyDescent="0.35">
      <c r="A46" s="1">
        <v>760</v>
      </c>
      <c r="B46" s="1">
        <v>24.319749999999999</v>
      </c>
      <c r="C46" s="1">
        <v>103.56983200000001</v>
      </c>
      <c r="D46" s="1">
        <v>115.05387899999999</v>
      </c>
      <c r="E46" s="1">
        <v>-9.4876000000000002E-2</v>
      </c>
      <c r="F46" s="1">
        <v>-1.109081</v>
      </c>
      <c r="G46" s="1">
        <v>-0.71108700000000002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</row>
    <row r="47" spans="1:30" x14ac:dyDescent="0.35">
      <c r="A47" s="1">
        <v>780</v>
      </c>
      <c r="B47" s="1">
        <v>24.964372999999998</v>
      </c>
      <c r="C47" s="1">
        <v>114.910313</v>
      </c>
      <c r="D47" s="1">
        <v>115.05387899999999</v>
      </c>
      <c r="E47" s="1">
        <v>-0.52848099999999998</v>
      </c>
      <c r="F47" s="1">
        <v>0.18004200000000001</v>
      </c>
      <c r="G47" s="1">
        <v>0.69652400000000003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</row>
    <row r="48" spans="1:30" x14ac:dyDescent="0.35">
      <c r="A48" s="1">
        <v>800</v>
      </c>
      <c r="B48" s="1">
        <v>25.576867</v>
      </c>
      <c r="C48" s="1">
        <v>93.924232000000003</v>
      </c>
      <c r="D48" s="1">
        <v>115.05387899999999</v>
      </c>
      <c r="E48" s="1">
        <v>0.87308600000000003</v>
      </c>
      <c r="F48" s="1">
        <v>2.4204479999999999</v>
      </c>
      <c r="G48" s="1">
        <v>2.8587050000000001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30</v>
      </c>
      <c r="AD48" t="s">
        <v>30</v>
      </c>
    </row>
    <row r="49" spans="1:30" x14ac:dyDescent="0.35">
      <c r="A49" s="1">
        <v>820</v>
      </c>
      <c r="B49" s="1">
        <v>26.202688999999999</v>
      </c>
      <c r="C49" s="1">
        <v>84.433027999999993</v>
      </c>
      <c r="D49" s="1">
        <v>115.05387899999999</v>
      </c>
      <c r="E49" s="1">
        <v>-1.245835</v>
      </c>
      <c r="F49" s="1">
        <v>-1.502948</v>
      </c>
      <c r="G49" s="1">
        <v>-0.77042999999999995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</row>
    <row r="50" spans="1:30" x14ac:dyDescent="0.35">
      <c r="A50" s="1">
        <v>840</v>
      </c>
      <c r="B50" s="1">
        <v>26.846311</v>
      </c>
      <c r="C50" s="1">
        <v>115.598181</v>
      </c>
      <c r="D50" s="1">
        <v>115.05387899999999</v>
      </c>
      <c r="E50" s="1">
        <v>9.4664999999999999E-2</v>
      </c>
      <c r="F50" s="1">
        <v>-1.868501</v>
      </c>
      <c r="G50" s="1">
        <v>0.27463100000000001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30</v>
      </c>
      <c r="AC50" t="s">
        <v>30</v>
      </c>
      <c r="AD50" t="s">
        <v>30</v>
      </c>
    </row>
    <row r="51" spans="1:30" x14ac:dyDescent="0.35">
      <c r="A51" s="1">
        <v>860</v>
      </c>
      <c r="B51" s="1">
        <v>27.449728</v>
      </c>
      <c r="C51" s="1">
        <v>116.290145</v>
      </c>
      <c r="D51" s="1">
        <v>115.05387899999999</v>
      </c>
      <c r="E51" s="1">
        <v>-1.512713</v>
      </c>
      <c r="F51" s="1">
        <v>2.384531</v>
      </c>
      <c r="G51" s="1">
        <v>2.5099589999999998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</row>
    <row r="52" spans="1:30" x14ac:dyDescent="0.35">
      <c r="A52" s="1">
        <v>880</v>
      </c>
      <c r="B52" s="1">
        <v>28.070450000000001</v>
      </c>
      <c r="C52" s="1">
        <v>103.082143</v>
      </c>
      <c r="D52" s="1">
        <v>115.05387899999999</v>
      </c>
      <c r="E52" s="1">
        <v>0.436755</v>
      </c>
      <c r="F52" s="1">
        <v>-0.634718</v>
      </c>
      <c r="G52" s="1">
        <v>-2.2867579999999998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30</v>
      </c>
      <c r="AA52" t="s">
        <v>30</v>
      </c>
      <c r="AB52" t="s">
        <v>30</v>
      </c>
      <c r="AC52" t="s">
        <v>30</v>
      </c>
      <c r="AD52" t="s">
        <v>30</v>
      </c>
    </row>
    <row r="53" spans="1:30" x14ac:dyDescent="0.35">
      <c r="A53" s="1">
        <v>900</v>
      </c>
      <c r="B53" s="1">
        <v>28.690362</v>
      </c>
      <c r="C53" s="1">
        <v>95.428320999999997</v>
      </c>
      <c r="D53" s="1">
        <v>115.05387899999999</v>
      </c>
      <c r="E53" s="1">
        <v>3.1363500000000002</v>
      </c>
      <c r="F53" s="1">
        <v>2.1427610000000001</v>
      </c>
      <c r="G53" s="1">
        <v>0.89355899999999999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</row>
    <row r="54" spans="1:30" x14ac:dyDescent="0.35">
      <c r="A54" s="1">
        <v>920</v>
      </c>
      <c r="B54" s="1">
        <v>29.304687999999999</v>
      </c>
      <c r="C54" s="1">
        <v>100.72974499999999</v>
      </c>
      <c r="D54" s="1">
        <v>115.05387899999999</v>
      </c>
      <c r="E54" s="1">
        <v>-1.7540750000000001</v>
      </c>
      <c r="F54" s="1">
        <v>-1.252656</v>
      </c>
      <c r="G54" s="1">
        <v>-3.8041999999999999E-2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  <c r="AA54" t="s">
        <v>30</v>
      </c>
      <c r="AB54" t="s">
        <v>30</v>
      </c>
      <c r="AC54" t="s">
        <v>30</v>
      </c>
      <c r="AD54" t="s">
        <v>30</v>
      </c>
    </row>
    <row r="55" spans="1:30" x14ac:dyDescent="0.35">
      <c r="A55" s="1">
        <v>940</v>
      </c>
      <c r="B55" s="1">
        <v>29.941414000000002</v>
      </c>
      <c r="C55" s="1">
        <v>101.753865</v>
      </c>
      <c r="D55" s="1">
        <v>115.05387899999999</v>
      </c>
      <c r="E55" s="1">
        <v>0.71613499999999997</v>
      </c>
      <c r="F55" s="1">
        <v>-0.30133799999999999</v>
      </c>
      <c r="G55" s="1">
        <v>-1.8467229999999999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</row>
    <row r="56" spans="1:30" x14ac:dyDescent="0.35">
      <c r="A56" s="1">
        <v>960</v>
      </c>
      <c r="B56" s="1">
        <v>30.560627</v>
      </c>
      <c r="C56" s="1">
        <v>121.678034</v>
      </c>
      <c r="D56" s="1">
        <v>115.05387899999999</v>
      </c>
      <c r="E56" s="1">
        <v>0.67881599999999997</v>
      </c>
      <c r="F56" s="1">
        <v>-0.29980499999999999</v>
      </c>
      <c r="G56" s="1">
        <v>-0.57105700000000004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30</v>
      </c>
      <c r="AC56" t="s">
        <v>30</v>
      </c>
      <c r="AD56" t="s">
        <v>30</v>
      </c>
    </row>
    <row r="57" spans="1:30" x14ac:dyDescent="0.35">
      <c r="A57" s="1">
        <v>980</v>
      </c>
      <c r="B57" s="1">
        <v>31.133402</v>
      </c>
      <c r="C57" s="1">
        <v>115.41771300000001</v>
      </c>
      <c r="D57" s="1">
        <v>115.05387899999999</v>
      </c>
      <c r="E57" s="1">
        <v>-0.32293699999999997</v>
      </c>
      <c r="F57" s="1">
        <v>-1.2603139999999999</v>
      </c>
      <c r="G57" s="1">
        <v>3.902441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</row>
    <row r="58" spans="1:30" x14ac:dyDescent="0.35">
      <c r="A58" s="1">
        <v>1000</v>
      </c>
      <c r="B58" s="1">
        <v>31.708344</v>
      </c>
      <c r="C58" s="1">
        <v>105.161051</v>
      </c>
      <c r="D58" s="1">
        <v>115.05387899999999</v>
      </c>
      <c r="E58" s="1">
        <v>-1.666391</v>
      </c>
      <c r="F58" s="1">
        <v>0.20971600000000001</v>
      </c>
      <c r="G58" s="1">
        <v>7.5532000000000002E-2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  <c r="AA58" t="s">
        <v>30</v>
      </c>
      <c r="AB58" t="s">
        <v>30</v>
      </c>
      <c r="AC58" t="s">
        <v>30</v>
      </c>
      <c r="AD58" t="s">
        <v>30</v>
      </c>
    </row>
    <row r="59" spans="1:30" x14ac:dyDescent="0.35">
      <c r="A59" s="1">
        <v>1020</v>
      </c>
      <c r="B59" s="1">
        <v>32.312170999999999</v>
      </c>
      <c r="C59" s="1">
        <v>120.675282</v>
      </c>
      <c r="D59" s="1">
        <v>115.05387899999999</v>
      </c>
      <c r="E59" s="1">
        <v>1.203859</v>
      </c>
      <c r="F59" s="1">
        <v>-0.90493199999999996</v>
      </c>
      <c r="G59" s="1">
        <v>-3.1521180000000002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</row>
    <row r="60" spans="1:30" x14ac:dyDescent="0.35">
      <c r="A60" s="1">
        <v>1040</v>
      </c>
      <c r="B60" s="1">
        <v>32.894235000000002</v>
      </c>
      <c r="C60" s="1">
        <v>116.75966200000001</v>
      </c>
      <c r="D60" s="1">
        <v>115.05387899999999</v>
      </c>
      <c r="E60" s="1">
        <v>1.600751</v>
      </c>
      <c r="F60" s="1">
        <v>0.34019899999999997</v>
      </c>
      <c r="G60" s="1">
        <v>-1.0224800000000001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30</v>
      </c>
      <c r="AC60" t="s">
        <v>30</v>
      </c>
      <c r="AD60" t="s">
        <v>30</v>
      </c>
    </row>
    <row r="61" spans="1:30" x14ac:dyDescent="0.35">
      <c r="A61" s="1">
        <v>1060</v>
      </c>
      <c r="B61" s="1">
        <v>33.473948999999998</v>
      </c>
      <c r="C61" s="1">
        <v>117.195061</v>
      </c>
      <c r="D61" s="1">
        <v>115.05387899999999</v>
      </c>
      <c r="E61" s="1">
        <v>-1.41062</v>
      </c>
      <c r="F61" s="1">
        <v>-0.24793299999999999</v>
      </c>
      <c r="G61" s="1">
        <v>0.39901599999999998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</row>
    <row r="62" spans="1:30" x14ac:dyDescent="0.35">
      <c r="A62" s="1">
        <v>1080</v>
      </c>
      <c r="B62" s="1">
        <v>34.088487999999998</v>
      </c>
      <c r="C62" s="1">
        <v>116.135554</v>
      </c>
      <c r="D62" s="1">
        <v>115.05387899999999</v>
      </c>
      <c r="E62" s="1">
        <v>-1.6994009999999999</v>
      </c>
      <c r="F62" s="1">
        <v>0.105883</v>
      </c>
      <c r="G62" s="1">
        <v>1.104813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30</v>
      </c>
      <c r="AC62" t="s">
        <v>30</v>
      </c>
      <c r="AD62" t="s">
        <v>30</v>
      </c>
    </row>
    <row r="63" spans="1:30" x14ac:dyDescent="0.35">
      <c r="A63" s="1">
        <v>1100</v>
      </c>
      <c r="B63" s="1">
        <v>34.712907999999999</v>
      </c>
      <c r="C63" s="1">
        <v>103.599886</v>
      </c>
      <c r="D63" s="1">
        <v>115.05387899999999</v>
      </c>
      <c r="E63" s="1">
        <v>2.118849</v>
      </c>
      <c r="F63" s="1">
        <v>2.0050750000000002</v>
      </c>
      <c r="G63" s="1">
        <v>-0.19530500000000001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</row>
    <row r="64" spans="1:30" x14ac:dyDescent="0.35">
      <c r="A64" s="1">
        <v>1120</v>
      </c>
      <c r="B64" s="1">
        <v>35.308835000000002</v>
      </c>
      <c r="C64" s="1">
        <v>100.827467</v>
      </c>
      <c r="D64" s="1">
        <v>115.05387899999999</v>
      </c>
      <c r="E64" s="1">
        <v>1.603329</v>
      </c>
      <c r="F64" s="1">
        <v>0.73782899999999996</v>
      </c>
      <c r="G64" s="1">
        <v>-1.3740680000000001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30</v>
      </c>
      <c r="AC64" t="s">
        <v>30</v>
      </c>
      <c r="AD64" t="s">
        <v>30</v>
      </c>
    </row>
    <row r="65" spans="1:30" x14ac:dyDescent="0.35">
      <c r="A65" s="1">
        <v>1140</v>
      </c>
      <c r="B65" s="1">
        <v>35.930407000000002</v>
      </c>
      <c r="C65" s="1">
        <v>105.86377899999999</v>
      </c>
      <c r="D65" s="1">
        <v>115.05387899999999</v>
      </c>
      <c r="E65" s="1">
        <v>-1.1072059999999999</v>
      </c>
      <c r="F65" s="1">
        <v>-0.116934</v>
      </c>
      <c r="G65" s="1">
        <v>-0.62991200000000003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</row>
    <row r="66" spans="1:30" x14ac:dyDescent="0.35">
      <c r="A66" s="1">
        <v>1160</v>
      </c>
      <c r="B66" s="1">
        <v>36.520651000000001</v>
      </c>
      <c r="C66" s="1">
        <v>109.761351</v>
      </c>
      <c r="D66" s="1">
        <v>115.05387899999999</v>
      </c>
      <c r="E66" s="1">
        <v>-2.8750049999999998</v>
      </c>
      <c r="F66" s="1">
        <v>-2.9211429999999998</v>
      </c>
      <c r="G66" s="1">
        <v>-1.026267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30</v>
      </c>
      <c r="AC66" t="s">
        <v>30</v>
      </c>
      <c r="AD66" t="s">
        <v>30</v>
      </c>
    </row>
    <row r="67" spans="1:30" x14ac:dyDescent="0.35">
      <c r="A67" s="1">
        <v>1180</v>
      </c>
      <c r="B67" s="1">
        <v>37.135903999999996</v>
      </c>
      <c r="C67" s="1">
        <v>100.552666</v>
      </c>
      <c r="D67" s="1">
        <v>115.05387899999999</v>
      </c>
      <c r="E67" s="1">
        <v>5.3679119999999996</v>
      </c>
      <c r="F67" s="1">
        <v>0.43833499999999997</v>
      </c>
      <c r="G67" s="1">
        <v>0.70893600000000001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</row>
    <row r="68" spans="1:30" x14ac:dyDescent="0.35">
      <c r="A68" s="1">
        <v>1200</v>
      </c>
      <c r="B68" s="1">
        <v>37.736311000000001</v>
      </c>
      <c r="C68" s="1">
        <v>105.202232</v>
      </c>
      <c r="D68" s="1">
        <v>115.05387899999999</v>
      </c>
      <c r="E68" s="1">
        <v>-1.3658060000000001</v>
      </c>
      <c r="F68" s="1">
        <v>-1.5973580000000001</v>
      </c>
      <c r="G68" s="1">
        <v>0.91244499999999995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  <c r="AB68" t="s">
        <v>30</v>
      </c>
      <c r="AC68" t="s">
        <v>30</v>
      </c>
      <c r="AD68" t="s">
        <v>30</v>
      </c>
    </row>
    <row r="69" spans="1:30" x14ac:dyDescent="0.35">
      <c r="A69" s="1">
        <v>1220</v>
      </c>
      <c r="B69" s="1">
        <v>38.364438</v>
      </c>
      <c r="C69" s="1">
        <v>102.491523</v>
      </c>
      <c r="D69" s="1">
        <v>115.05387899999999</v>
      </c>
      <c r="E69" s="1">
        <v>-1.237063</v>
      </c>
      <c r="F69" s="1">
        <v>-0.543651</v>
      </c>
      <c r="G69" s="1">
        <v>2.3643149999999999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</row>
    <row r="70" spans="1:30" x14ac:dyDescent="0.35">
      <c r="A70" s="1">
        <v>1240</v>
      </c>
      <c r="B70" s="1">
        <v>38.967837000000003</v>
      </c>
      <c r="C70" s="1">
        <v>100.64087499999999</v>
      </c>
      <c r="D70" s="1">
        <v>115.05387899999999</v>
      </c>
      <c r="E70" s="1">
        <v>3.5839439999999998</v>
      </c>
      <c r="F70" s="1">
        <v>0.93689299999999998</v>
      </c>
      <c r="G70" s="1">
        <v>-5.2706999999999997E-2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  <c r="AB70" t="s">
        <v>30</v>
      </c>
      <c r="AC70" t="s">
        <v>30</v>
      </c>
      <c r="AD70" t="s">
        <v>30</v>
      </c>
    </row>
    <row r="71" spans="1:30" x14ac:dyDescent="0.35">
      <c r="A71" s="1">
        <v>1260</v>
      </c>
      <c r="B71" s="1">
        <v>39.594749</v>
      </c>
      <c r="C71" s="1">
        <v>126.242751</v>
      </c>
      <c r="D71" s="1">
        <v>115.05387899999999</v>
      </c>
      <c r="E71" s="1">
        <v>-2.391785</v>
      </c>
      <c r="F71" s="1">
        <v>0.451712</v>
      </c>
      <c r="G71" s="1">
        <v>-2.9013019999999998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</row>
    <row r="72" spans="1:30" x14ac:dyDescent="0.35">
      <c r="A72" s="1">
        <v>1280</v>
      </c>
      <c r="B72" s="1">
        <v>40.233319000000002</v>
      </c>
      <c r="C72" s="1">
        <v>121.19611500000001</v>
      </c>
      <c r="D72" s="1">
        <v>115.05387899999999</v>
      </c>
      <c r="E72" s="1">
        <v>-2.0117319999999999</v>
      </c>
      <c r="F72" s="1">
        <v>-2.115192</v>
      </c>
      <c r="G72" s="1">
        <v>1.0164550000000001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30</v>
      </c>
      <c r="AC72" t="s">
        <v>30</v>
      </c>
      <c r="AD72" t="s">
        <v>30</v>
      </c>
    </row>
    <row r="73" spans="1:30" x14ac:dyDescent="0.35">
      <c r="A73" s="1">
        <v>1300</v>
      </c>
      <c r="B73" s="1">
        <v>40.851363999999997</v>
      </c>
      <c r="C73" s="1">
        <v>117.206087</v>
      </c>
      <c r="D73" s="1">
        <v>115.05387899999999</v>
      </c>
      <c r="E73" s="1">
        <v>2.8144339999999999</v>
      </c>
      <c r="F73" s="1">
        <v>-0.68821200000000005</v>
      </c>
      <c r="G73" s="1">
        <v>1.0309029999999999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</row>
    <row r="74" spans="1:30" x14ac:dyDescent="0.35">
      <c r="A74" s="1">
        <v>1320</v>
      </c>
      <c r="B74" s="1">
        <v>41.416026000000002</v>
      </c>
      <c r="C74" s="1">
        <v>122.21746899999999</v>
      </c>
      <c r="D74" s="1">
        <v>115.05387899999999</v>
      </c>
      <c r="E74" s="1">
        <v>0.68997600000000003</v>
      </c>
      <c r="F74" s="1">
        <v>-9.5297000000000007E-2</v>
      </c>
      <c r="G74" s="1">
        <v>-1.5618620000000001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30</v>
      </c>
      <c r="AC74" t="s">
        <v>30</v>
      </c>
      <c r="AD74" t="s">
        <v>30</v>
      </c>
    </row>
    <row r="75" spans="1:30" x14ac:dyDescent="0.35">
      <c r="A75" s="1">
        <v>1340</v>
      </c>
      <c r="B75" s="1">
        <v>42.009990000000002</v>
      </c>
      <c r="C75" s="1">
        <v>95.920478000000003</v>
      </c>
      <c r="D75" s="1">
        <v>115.05387899999999</v>
      </c>
      <c r="E75" s="1">
        <v>-1.153672</v>
      </c>
      <c r="F75" s="1">
        <v>1.1950480000000001</v>
      </c>
      <c r="G75" s="1">
        <v>0.145538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</row>
    <row r="76" spans="1:30" x14ac:dyDescent="0.35">
      <c r="A76" s="1">
        <v>1360</v>
      </c>
      <c r="B76" s="1">
        <v>42.603132000000002</v>
      </c>
      <c r="C76" s="1">
        <v>119.621797</v>
      </c>
      <c r="D76" s="1">
        <v>115.05387899999999</v>
      </c>
      <c r="E76" s="1">
        <v>0.98135600000000001</v>
      </c>
      <c r="F76" s="1">
        <v>-1.090357</v>
      </c>
      <c r="G76" s="1">
        <v>2.6062449999999999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  <c r="Z76" t="s">
        <v>30</v>
      </c>
      <c r="AA76" t="s">
        <v>30</v>
      </c>
      <c r="AB76" t="s">
        <v>30</v>
      </c>
      <c r="AC76" t="s">
        <v>30</v>
      </c>
      <c r="AD76" t="s">
        <v>30</v>
      </c>
    </row>
    <row r="77" spans="1:30" x14ac:dyDescent="0.35">
      <c r="A77" s="1">
        <v>1380</v>
      </c>
      <c r="B77" s="1">
        <v>43.197685</v>
      </c>
      <c r="C77" s="1">
        <v>108.284373</v>
      </c>
      <c r="D77" s="1">
        <v>115.05387899999999</v>
      </c>
      <c r="E77" s="1">
        <v>3.7344050000000002</v>
      </c>
      <c r="F77" s="1">
        <v>-0.34314699999999998</v>
      </c>
      <c r="G77" s="1">
        <v>-1.864692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</row>
    <row r="78" spans="1:30" x14ac:dyDescent="0.35">
      <c r="A78" s="1">
        <v>1400</v>
      </c>
      <c r="B78" s="1">
        <v>43.788936</v>
      </c>
      <c r="C78" s="1">
        <v>104.52219599999999</v>
      </c>
      <c r="D78" s="1">
        <v>115.05387899999999</v>
      </c>
      <c r="E78" s="1">
        <v>-0.92189200000000004</v>
      </c>
      <c r="F78" s="1">
        <v>2.2474440000000002</v>
      </c>
      <c r="G78" s="1">
        <v>0.25913399999999998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  <c r="Z78" t="s">
        <v>30</v>
      </c>
      <c r="AA78" t="s">
        <v>30</v>
      </c>
      <c r="AB78" t="s">
        <v>30</v>
      </c>
      <c r="AC78" t="s">
        <v>30</v>
      </c>
      <c r="AD78" t="s">
        <v>30</v>
      </c>
    </row>
    <row r="79" spans="1:30" x14ac:dyDescent="0.35">
      <c r="A79" s="1">
        <v>1420</v>
      </c>
      <c r="B79" s="1">
        <v>44.428485000000002</v>
      </c>
      <c r="C79" s="1">
        <v>108.489925</v>
      </c>
      <c r="D79" s="1">
        <v>115.05387899999999</v>
      </c>
      <c r="E79" s="1">
        <v>-1.7359009999999999</v>
      </c>
      <c r="F79" s="1">
        <v>-0.70042099999999996</v>
      </c>
      <c r="G79" s="1">
        <v>2.5763219999999998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</row>
    <row r="80" spans="1:30" x14ac:dyDescent="0.35">
      <c r="A80" s="1">
        <v>1440</v>
      </c>
      <c r="B80" s="1">
        <v>45.011606999999998</v>
      </c>
      <c r="C80" s="1">
        <v>124.55923900000001</v>
      </c>
      <c r="D80" s="1">
        <v>115.05387899999999</v>
      </c>
      <c r="E80" s="1">
        <v>-2.5307469999999999</v>
      </c>
      <c r="F80" s="1">
        <v>-0.22387699999999999</v>
      </c>
      <c r="G80" s="1">
        <v>-0.52793900000000005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  <c r="AA80" t="s">
        <v>30</v>
      </c>
      <c r="AB80" t="s">
        <v>30</v>
      </c>
      <c r="AC80" t="s">
        <v>30</v>
      </c>
      <c r="AD80" t="s">
        <v>30</v>
      </c>
    </row>
    <row r="81" spans="1:30" x14ac:dyDescent="0.35">
      <c r="A81" s="1">
        <v>1460</v>
      </c>
      <c r="B81" s="1">
        <v>45.600701999999998</v>
      </c>
      <c r="C81" s="1">
        <v>103.129109</v>
      </c>
      <c r="D81" s="1">
        <v>115.05387899999999</v>
      </c>
      <c r="E81" s="1">
        <v>1.030994</v>
      </c>
      <c r="F81" s="1">
        <v>0.86952200000000002</v>
      </c>
      <c r="G81" s="1">
        <v>-3.3557920000000001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</row>
    <row r="82" spans="1:30" x14ac:dyDescent="0.35">
      <c r="A82" s="1">
        <v>1480</v>
      </c>
      <c r="B82" s="1">
        <v>46.267724999999999</v>
      </c>
      <c r="C82" s="1">
        <v>112.919179</v>
      </c>
      <c r="D82" s="1">
        <v>115.05387899999999</v>
      </c>
      <c r="E82" s="1">
        <v>3.3059999999999999E-2</v>
      </c>
      <c r="F82" s="1">
        <v>-1.507274</v>
      </c>
      <c r="G82" s="1">
        <v>-1.7240489999999999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  <c r="AA82" t="s">
        <v>30</v>
      </c>
      <c r="AB82" t="s">
        <v>30</v>
      </c>
      <c r="AC82" t="s">
        <v>30</v>
      </c>
      <c r="AD82" t="s">
        <v>30</v>
      </c>
    </row>
    <row r="83" spans="1:30" x14ac:dyDescent="0.35">
      <c r="A83" s="1">
        <v>1500</v>
      </c>
      <c r="B83" s="1">
        <v>46.854475000000001</v>
      </c>
      <c r="C83" s="1">
        <v>101.93585299999999</v>
      </c>
      <c r="D83" s="1">
        <v>115.05387899999999</v>
      </c>
      <c r="E83" s="1">
        <v>-0.887992</v>
      </c>
      <c r="F83" s="1">
        <v>-1.6998530000000001</v>
      </c>
      <c r="G83" s="1">
        <v>3.339359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</row>
    <row r="84" spans="1:30" x14ac:dyDescent="0.35">
      <c r="A84" s="1">
        <v>1520</v>
      </c>
      <c r="B84" s="1">
        <v>47.460867</v>
      </c>
      <c r="C84" s="1">
        <v>113.201616</v>
      </c>
      <c r="D84" s="1">
        <v>115.05387899999999</v>
      </c>
      <c r="E84" s="1">
        <v>-0.96160000000000001</v>
      </c>
      <c r="F84" s="1">
        <v>2.1030530000000001</v>
      </c>
      <c r="G84" s="1">
        <v>2.6027999999999999E-2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  <c r="Z84" t="s">
        <v>30</v>
      </c>
      <c r="AA84" t="s">
        <v>30</v>
      </c>
      <c r="AB84" t="s">
        <v>30</v>
      </c>
      <c r="AC84" t="s">
        <v>30</v>
      </c>
      <c r="AD84" t="s">
        <v>30</v>
      </c>
    </row>
    <row r="85" spans="1:30" x14ac:dyDescent="0.35">
      <c r="A85" s="1">
        <v>1540</v>
      </c>
      <c r="B85" s="1">
        <v>48.064791</v>
      </c>
      <c r="C85" s="1">
        <v>111.17017300000001</v>
      </c>
      <c r="D85" s="1">
        <v>115.05387899999999</v>
      </c>
      <c r="E85" s="1">
        <v>2.3399670000000001</v>
      </c>
      <c r="F85" s="1">
        <v>1.713503</v>
      </c>
      <c r="G85" s="1">
        <v>-1.489101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</row>
    <row r="86" spans="1:30" x14ac:dyDescent="0.35">
      <c r="A86" s="1">
        <v>1560</v>
      </c>
      <c r="B86" s="1">
        <v>48.682079000000002</v>
      </c>
      <c r="C86" s="1">
        <v>109.85972700000001</v>
      </c>
      <c r="D86" s="1">
        <v>115.05387899999999</v>
      </c>
      <c r="E86" s="1">
        <v>1.173413</v>
      </c>
      <c r="F86" s="1">
        <v>-1.646787</v>
      </c>
      <c r="G86" s="1">
        <v>1.5371410000000001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  <c r="Z86" t="s">
        <v>30</v>
      </c>
      <c r="AA86" t="s">
        <v>30</v>
      </c>
      <c r="AB86" t="s">
        <v>30</v>
      </c>
      <c r="AC86" t="s">
        <v>30</v>
      </c>
      <c r="AD86" t="s">
        <v>30</v>
      </c>
    </row>
    <row r="87" spans="1:30" x14ac:dyDescent="0.35">
      <c r="A87" s="1">
        <v>1580</v>
      </c>
      <c r="B87" s="1">
        <v>49.258045000000003</v>
      </c>
      <c r="C87" s="1">
        <v>114.44961000000001</v>
      </c>
      <c r="D87" s="1">
        <v>115.05387899999999</v>
      </c>
      <c r="E87" s="1">
        <v>-3.1332070000000001</v>
      </c>
      <c r="F87" s="1">
        <v>2.6986270000000001</v>
      </c>
      <c r="G87" s="1">
        <v>1.3232159999999999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</row>
    <row r="88" spans="1:30" x14ac:dyDescent="0.35">
      <c r="A88" s="1">
        <v>1600</v>
      </c>
      <c r="B88" s="1">
        <v>49.904178999999999</v>
      </c>
      <c r="C88" s="1">
        <v>102.902486</v>
      </c>
      <c r="D88" s="1">
        <v>115.05387899999999</v>
      </c>
      <c r="E88" s="1">
        <v>2.2133060000000002</v>
      </c>
      <c r="F88" s="1">
        <v>-2.696545</v>
      </c>
      <c r="G88" s="1">
        <v>-0.69611599999999996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  <c r="Z88" t="s">
        <v>30</v>
      </c>
      <c r="AA88" t="s">
        <v>30</v>
      </c>
      <c r="AB88" t="s">
        <v>30</v>
      </c>
      <c r="AC88" t="s">
        <v>30</v>
      </c>
      <c r="AD88" t="s">
        <v>30</v>
      </c>
    </row>
    <row r="89" spans="1:30" x14ac:dyDescent="0.35">
      <c r="A89" s="1">
        <v>1620</v>
      </c>
      <c r="B89" s="1">
        <v>50.515818000000003</v>
      </c>
      <c r="C89" s="1">
        <v>107.661331</v>
      </c>
      <c r="D89" s="1">
        <v>115.05387899999999</v>
      </c>
      <c r="E89" s="1">
        <v>2.8835489999999999</v>
      </c>
      <c r="F89" s="1">
        <v>6.2841999999999995E-2</v>
      </c>
      <c r="G89" s="1">
        <v>-2.3119809999999998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</row>
    <row r="90" spans="1:30" x14ac:dyDescent="0.35">
      <c r="A90" s="1">
        <v>1640</v>
      </c>
      <c r="B90" s="1">
        <v>51.139167</v>
      </c>
      <c r="C90" s="1">
        <v>122.12151799999999</v>
      </c>
      <c r="D90" s="1">
        <v>115.05387899999999</v>
      </c>
      <c r="E90" s="1">
        <v>-2.1462910000000002</v>
      </c>
      <c r="F90" s="1">
        <v>0.63850600000000002</v>
      </c>
      <c r="G90" s="1">
        <v>0.319297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  <c r="AA90" t="s">
        <v>30</v>
      </c>
      <c r="AB90" t="s">
        <v>30</v>
      </c>
      <c r="AC90" t="s">
        <v>30</v>
      </c>
      <c r="AD90" t="s">
        <v>30</v>
      </c>
    </row>
    <row r="91" spans="1:30" x14ac:dyDescent="0.35">
      <c r="A91" s="1">
        <v>1660</v>
      </c>
      <c r="B91" s="1">
        <v>51.745716000000002</v>
      </c>
      <c r="C91" s="1">
        <v>99.701284999999999</v>
      </c>
      <c r="D91" s="1">
        <v>115.05387899999999</v>
      </c>
      <c r="E91" s="1">
        <v>1.5140549999999999</v>
      </c>
      <c r="F91" s="1">
        <v>-0.97070400000000001</v>
      </c>
      <c r="G91" s="1">
        <v>0.83138699999999999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</row>
    <row r="92" spans="1:30" x14ac:dyDescent="0.35">
      <c r="A92" s="1">
        <v>1680</v>
      </c>
      <c r="B92" s="1">
        <v>52.458753000000002</v>
      </c>
      <c r="C92" s="1">
        <v>110.03153500000001</v>
      </c>
      <c r="D92" s="1">
        <v>115.05387899999999</v>
      </c>
      <c r="E92" s="1">
        <v>-0.47860000000000003</v>
      </c>
      <c r="F92" s="1">
        <v>1.392477</v>
      </c>
      <c r="G92" s="1">
        <v>1.4808950000000001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  <c r="Z92" t="s">
        <v>30</v>
      </c>
      <c r="AA92" t="s">
        <v>30</v>
      </c>
      <c r="AB92" t="s">
        <v>30</v>
      </c>
      <c r="AC92" t="s">
        <v>30</v>
      </c>
      <c r="AD92" t="s">
        <v>30</v>
      </c>
    </row>
    <row r="93" spans="1:30" x14ac:dyDescent="0.35">
      <c r="A93" s="1">
        <v>1700</v>
      </c>
      <c r="B93" s="1">
        <v>53.209012999999999</v>
      </c>
      <c r="C93" s="1">
        <v>100.004622</v>
      </c>
      <c r="D93" s="1">
        <v>115.05387899999999</v>
      </c>
      <c r="E93" s="1">
        <v>-0.42186800000000002</v>
      </c>
      <c r="F93" s="1">
        <v>-0.43900400000000001</v>
      </c>
      <c r="G93" s="1">
        <v>-0.91009200000000001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</row>
    <row r="94" spans="1:30" x14ac:dyDescent="0.35">
      <c r="A94" s="1">
        <v>1720</v>
      </c>
      <c r="B94" s="1">
        <v>54.007334</v>
      </c>
      <c r="C94" s="1">
        <v>68.834953999999996</v>
      </c>
      <c r="D94" s="1">
        <v>115.05387899999999</v>
      </c>
      <c r="E94" s="1">
        <v>-1.7092430000000001</v>
      </c>
      <c r="F94" s="1">
        <v>-0.73877999999999999</v>
      </c>
      <c r="G94" s="1">
        <v>-0.776972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  <c r="AA94" t="s">
        <v>30</v>
      </c>
      <c r="AB94" t="s">
        <v>30</v>
      </c>
      <c r="AC94" t="s">
        <v>30</v>
      </c>
      <c r="AD94" t="s">
        <v>30</v>
      </c>
    </row>
    <row r="95" spans="1:30" x14ac:dyDescent="0.35">
      <c r="A95" s="1">
        <v>1740</v>
      </c>
      <c r="B95" s="1">
        <v>54.867401000000001</v>
      </c>
      <c r="C95" s="1">
        <v>100.745722</v>
      </c>
      <c r="D95" s="1">
        <v>115.05387899999999</v>
      </c>
      <c r="E95" s="1">
        <v>-0.51983800000000002</v>
      </c>
      <c r="F95" s="1">
        <v>9.0139999999999994E-3</v>
      </c>
      <c r="G95" s="1">
        <v>-0.78217599999999998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</row>
    <row r="96" spans="1:30" x14ac:dyDescent="0.35">
      <c r="A96" s="1">
        <v>1760</v>
      </c>
      <c r="B96" s="1">
        <v>55.636181999999998</v>
      </c>
      <c r="C96" s="1">
        <v>95.622045999999997</v>
      </c>
      <c r="D96" s="1">
        <v>115.05387899999999</v>
      </c>
      <c r="E96" s="1">
        <v>3.3186580000000001</v>
      </c>
      <c r="F96" s="1">
        <v>-0.27323399999999998</v>
      </c>
      <c r="G96" s="1">
        <v>-0.13631699999999999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</row>
    <row r="97" spans="1:30" x14ac:dyDescent="0.35">
      <c r="A97" s="1">
        <v>1780</v>
      </c>
      <c r="B97" s="1">
        <v>56.370632000000001</v>
      </c>
      <c r="C97" s="1">
        <v>103.03627899999999</v>
      </c>
      <c r="D97" s="1">
        <v>115.05387899999999</v>
      </c>
      <c r="E97" s="1">
        <v>-0.66279299999999997</v>
      </c>
      <c r="F97" s="1">
        <v>-3.1580710000000001</v>
      </c>
      <c r="G97" s="1">
        <v>-1.553334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</row>
    <row r="98" spans="1:30" x14ac:dyDescent="0.35">
      <c r="A98" s="1">
        <v>1800</v>
      </c>
      <c r="B98" s="1">
        <v>57.059953</v>
      </c>
      <c r="C98" s="1">
        <v>108.711485</v>
      </c>
      <c r="D98" s="1">
        <v>115.05387899999999</v>
      </c>
      <c r="E98" s="1">
        <v>-0.71640999999999999</v>
      </c>
      <c r="F98" s="1">
        <v>0.84891000000000005</v>
      </c>
      <c r="G98" s="1">
        <v>-0.30822699999999997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</row>
    <row r="99" spans="1:30" x14ac:dyDescent="0.35">
      <c r="A99" s="1">
        <v>1820</v>
      </c>
      <c r="B99" s="1">
        <v>57.66375</v>
      </c>
      <c r="C99" s="1">
        <v>97.328899000000007</v>
      </c>
      <c r="D99" s="1">
        <v>115.05387899999999</v>
      </c>
      <c r="E99" s="1">
        <v>-1.5636350000000001</v>
      </c>
      <c r="F99" s="1">
        <v>-0.25152400000000003</v>
      </c>
      <c r="G99" s="1">
        <v>1.2415860000000001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</row>
    <row r="100" spans="1:30" x14ac:dyDescent="0.35">
      <c r="A100" s="1">
        <v>1840</v>
      </c>
      <c r="B100" s="1">
        <v>58.271304000000001</v>
      </c>
      <c r="C100" s="1">
        <v>106.312128</v>
      </c>
      <c r="D100" s="1">
        <v>115.05387899999999</v>
      </c>
      <c r="E100" s="1">
        <v>1.431845</v>
      </c>
      <c r="F100" s="1">
        <v>2.2421250000000001</v>
      </c>
      <c r="G100" s="1">
        <v>0.15130099999999999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  <c r="Z100" t="s">
        <v>30</v>
      </c>
      <c r="AA100" t="s">
        <v>30</v>
      </c>
      <c r="AB100" t="s">
        <v>30</v>
      </c>
      <c r="AC100" t="s">
        <v>30</v>
      </c>
      <c r="AD100" t="s">
        <v>30</v>
      </c>
    </row>
    <row r="101" spans="1:30" x14ac:dyDescent="0.35">
      <c r="A101" s="1">
        <v>1860</v>
      </c>
      <c r="B101" s="1">
        <v>58.895121000000003</v>
      </c>
      <c r="C101" s="1">
        <v>110.974546</v>
      </c>
      <c r="D101" s="1">
        <v>115.05387899999999</v>
      </c>
      <c r="E101" s="1">
        <v>0.79520800000000003</v>
      </c>
      <c r="F101" s="1">
        <v>-2.7287599999999999</v>
      </c>
      <c r="G101" s="1">
        <v>-7.8455999999999998E-2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</row>
    <row r="102" spans="1:30" x14ac:dyDescent="0.35">
      <c r="A102" s="1">
        <v>1880</v>
      </c>
      <c r="B102" s="1">
        <v>59.560572999999998</v>
      </c>
      <c r="C102" s="1">
        <v>112.887553</v>
      </c>
      <c r="D102" s="1">
        <v>115.05387899999999</v>
      </c>
      <c r="E102" s="1">
        <v>-1.1416869999999999</v>
      </c>
      <c r="F102" s="1">
        <v>-2.1567789999999998</v>
      </c>
      <c r="G102" s="1">
        <v>2.2260499999999999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30</v>
      </c>
      <c r="AC102" t="s">
        <v>30</v>
      </c>
      <c r="AD102" t="s">
        <v>30</v>
      </c>
    </row>
    <row r="103" spans="1:30" x14ac:dyDescent="0.35">
      <c r="A103" s="1">
        <v>1900</v>
      </c>
      <c r="B103" s="1">
        <v>60.189261000000002</v>
      </c>
      <c r="C103" s="1">
        <v>98.446826000000001</v>
      </c>
      <c r="D103" s="1">
        <v>115.05387899999999</v>
      </c>
      <c r="E103" s="1">
        <v>0.93590700000000004</v>
      </c>
      <c r="F103" s="1">
        <v>2.3400110000000001</v>
      </c>
      <c r="G103" s="1">
        <v>0.270563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</row>
    <row r="104" spans="1:30" x14ac:dyDescent="0.35">
      <c r="A104" s="1">
        <v>1920</v>
      </c>
      <c r="B104" s="1">
        <v>60.808382999999999</v>
      </c>
      <c r="C104" s="1">
        <v>119.651521</v>
      </c>
      <c r="D104" s="1">
        <v>115.05387899999999</v>
      </c>
      <c r="E104" s="1">
        <v>-0.56442000000000003</v>
      </c>
      <c r="F104" s="1">
        <v>-0.44600499999999998</v>
      </c>
      <c r="G104" s="1">
        <v>-0.76150700000000004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  <c r="AA104" t="s">
        <v>30</v>
      </c>
      <c r="AB104" t="s">
        <v>30</v>
      </c>
      <c r="AC104" t="s">
        <v>30</v>
      </c>
      <c r="AD104" t="s">
        <v>30</v>
      </c>
    </row>
    <row r="105" spans="1:30" x14ac:dyDescent="0.35">
      <c r="A105" s="1">
        <v>1940</v>
      </c>
      <c r="B105" s="1">
        <v>61.435015999999997</v>
      </c>
      <c r="C105" s="1">
        <v>102.673541</v>
      </c>
      <c r="D105" s="1">
        <v>115.05387899999999</v>
      </c>
      <c r="E105" s="1">
        <v>-1.507377</v>
      </c>
      <c r="F105" s="1">
        <v>-0.94908999999999999</v>
      </c>
      <c r="G105" s="1">
        <v>0.78225500000000003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</row>
    <row r="106" spans="1:30" x14ac:dyDescent="0.35">
      <c r="A106" s="1">
        <v>1960</v>
      </c>
      <c r="B106" s="1">
        <v>62.064703999999999</v>
      </c>
      <c r="C106" s="1">
        <v>103.734144</v>
      </c>
      <c r="D106" s="1">
        <v>115.05387899999999</v>
      </c>
      <c r="E106" s="1">
        <v>-1.48898</v>
      </c>
      <c r="F106" s="1">
        <v>0.75202199999999997</v>
      </c>
      <c r="G106" s="1">
        <v>-1.5258750000000001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  <c r="AA106" t="s">
        <v>30</v>
      </c>
      <c r="AB106" t="s">
        <v>30</v>
      </c>
      <c r="AC106" t="s">
        <v>30</v>
      </c>
      <c r="AD106" t="s">
        <v>30</v>
      </c>
    </row>
    <row r="107" spans="1:30" x14ac:dyDescent="0.35">
      <c r="A107" s="1">
        <v>1980</v>
      </c>
      <c r="B107" s="1">
        <v>62.694744999999998</v>
      </c>
      <c r="C107" s="1">
        <v>101.59151</v>
      </c>
      <c r="D107" s="1">
        <v>115.05387899999999</v>
      </c>
      <c r="E107" s="1">
        <v>-0.40957399999999999</v>
      </c>
      <c r="F107" s="1">
        <v>0.70794999999999997</v>
      </c>
      <c r="G107" s="1">
        <v>-0.50236400000000003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</row>
    <row r="108" spans="1:30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</row>
    <row r="109" spans="1:30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</row>
    <row r="110" spans="1:30" x14ac:dyDescent="0.35">
      <c r="A110" t="s">
        <v>42</v>
      </c>
      <c r="B110" s="1">
        <v>0</v>
      </c>
      <c r="C110" s="1">
        <v>8</v>
      </c>
      <c r="D110" s="1">
        <v>27</v>
      </c>
      <c r="E110" s="1">
        <v>61</v>
      </c>
      <c r="F110" s="1">
        <v>67</v>
      </c>
      <c r="G110" s="1">
        <v>117</v>
      </c>
      <c r="H110" s="1">
        <v>145</v>
      </c>
      <c r="I110" s="1">
        <v>172</v>
      </c>
      <c r="J110" s="1">
        <v>173</v>
      </c>
      <c r="K110" s="1">
        <v>174</v>
      </c>
      <c r="L110" s="1">
        <v>184</v>
      </c>
      <c r="M110" s="1">
        <v>160</v>
      </c>
      <c r="N110" s="1">
        <v>161</v>
      </c>
      <c r="O110" s="1">
        <v>122</v>
      </c>
      <c r="P110" s="1">
        <v>110</v>
      </c>
      <c r="Q110" s="1">
        <v>92</v>
      </c>
      <c r="R110" s="1">
        <v>59</v>
      </c>
      <c r="S110" s="1">
        <v>52</v>
      </c>
      <c r="T110" s="1">
        <v>32</v>
      </c>
      <c r="U110" s="1">
        <v>27</v>
      </c>
      <c r="V110" s="1">
        <v>19</v>
      </c>
      <c r="W110" s="1">
        <v>16</v>
      </c>
      <c r="X110" s="1">
        <v>12</v>
      </c>
      <c r="Y110" s="1">
        <v>3</v>
      </c>
      <c r="Z110" s="1">
        <v>3</v>
      </c>
      <c r="AA110" s="1">
        <v>1</v>
      </c>
      <c r="AB110" s="1">
        <v>2</v>
      </c>
      <c r="AC110" s="1">
        <v>0</v>
      </c>
      <c r="AD110" s="1">
        <v>1</v>
      </c>
    </row>
    <row r="111" spans="1:30" x14ac:dyDescent="0.35">
      <c r="B111" t="str">
        <f>(COLUMN()-2)*$B$109&amp;"–"&amp;((COLUMN()-1)*$B$109)</f>
        <v>0–10</v>
      </c>
      <c r="C111" t="str">
        <f t="shared" ref="C111:AB111" si="0">(COLUMN()-2)*$B$109&amp;"–"&amp;((COLUMN()-1)*$B$109)</f>
        <v>10–20</v>
      </c>
      <c r="D111" t="str">
        <f t="shared" si="0"/>
        <v>20–30</v>
      </c>
      <c r="E111" t="str">
        <f t="shared" si="0"/>
        <v>30–40</v>
      </c>
      <c r="F111" t="str">
        <f t="shared" si="0"/>
        <v>40–50</v>
      </c>
      <c r="G111" t="str">
        <f t="shared" si="0"/>
        <v>50–60</v>
      </c>
      <c r="H111" t="str">
        <f t="shared" si="0"/>
        <v>60–70</v>
      </c>
      <c r="I111" t="str">
        <f t="shared" si="0"/>
        <v>70–80</v>
      </c>
      <c r="J111" t="str">
        <f t="shared" si="0"/>
        <v>80–90</v>
      </c>
      <c r="K111" t="str">
        <f t="shared" si="0"/>
        <v>90–100</v>
      </c>
      <c r="L111" t="str">
        <f t="shared" si="0"/>
        <v>100–110</v>
      </c>
      <c r="M111" t="str">
        <f t="shared" si="0"/>
        <v>110–120</v>
      </c>
      <c r="N111" t="str">
        <f t="shared" si="0"/>
        <v>120–130</v>
      </c>
      <c r="O111" t="str">
        <f t="shared" si="0"/>
        <v>130–140</v>
      </c>
      <c r="P111" t="str">
        <f t="shared" si="0"/>
        <v>140–150</v>
      </c>
      <c r="Q111" t="str">
        <f t="shared" si="0"/>
        <v>150–160</v>
      </c>
      <c r="R111" t="str">
        <f t="shared" si="0"/>
        <v>160–170</v>
      </c>
      <c r="S111" t="str">
        <f t="shared" si="0"/>
        <v>170–180</v>
      </c>
      <c r="T111" t="str">
        <f t="shared" si="0"/>
        <v>180–190</v>
      </c>
      <c r="U111" t="str">
        <f t="shared" si="0"/>
        <v>190–200</v>
      </c>
      <c r="V111" t="str">
        <f t="shared" si="0"/>
        <v>200–210</v>
      </c>
      <c r="W111" t="str">
        <f t="shared" si="0"/>
        <v>210–220</v>
      </c>
      <c r="X111" t="str">
        <f t="shared" si="0"/>
        <v>220–230</v>
      </c>
      <c r="Y111" t="str">
        <f t="shared" si="0"/>
        <v>230–240</v>
      </c>
      <c r="Z111" t="str">
        <f t="shared" si="0"/>
        <v>240–250</v>
      </c>
      <c r="AA111" t="str">
        <f t="shared" si="0"/>
        <v>250–260</v>
      </c>
      <c r="AB111" t="str">
        <f t="shared" si="0"/>
        <v>260–270</v>
      </c>
      <c r="AC111" t="str">
        <f>(COLUMN()-2)*$B$109&amp;"–"&amp;((COLUMN()-1)*$B$109)</f>
        <v>270–280</v>
      </c>
      <c r="AD111" t="str">
        <f>(COLUMN()-2)*$B$109&amp;"–"&amp;((COLUMN()-1)*$B$109)</f>
        <v>280–290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2A82-24DC-4032-98FB-EF0FC40CBB87}">
  <dimension ref="A1:AC111"/>
  <sheetViews>
    <sheetView zoomScale="62" workbookViewId="0">
      <selection activeCell="D2" sqref="D2:E2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9" width="10.54296875" bestFit="1" customWidth="1"/>
    <col min="10" max="29" width="11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s="1">
        <v>1</v>
      </c>
      <c r="C2" t="s">
        <v>30</v>
      </c>
      <c r="D2" t="s">
        <v>47</v>
      </c>
      <c r="E2">
        <f>AVERAGE(C11:C107)</f>
        <v>108.77764094845364</v>
      </c>
      <c r="F2" t="s">
        <v>30</v>
      </c>
      <c r="G2" t="s">
        <v>30</v>
      </c>
    </row>
    <row r="3" spans="1:29" x14ac:dyDescent="0.35">
      <c r="A3" t="s">
        <v>31</v>
      </c>
      <c r="B3" s="1">
        <v>2000</v>
      </c>
      <c r="C3" t="s">
        <v>30</v>
      </c>
      <c r="F3" t="s">
        <v>30</v>
      </c>
      <c r="G3" t="s">
        <v>30</v>
      </c>
    </row>
    <row r="4" spans="1:29" x14ac:dyDescent="0.35">
      <c r="A4" t="s">
        <v>32</v>
      </c>
      <c r="B4" s="1">
        <v>1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</row>
    <row r="5" spans="1:29" x14ac:dyDescent="0.35">
      <c r="A5" t="s">
        <v>33</v>
      </c>
      <c r="B5" s="1">
        <v>1000000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 spans="1:29" x14ac:dyDescent="0.3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</row>
    <row r="7" spans="1:29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29" x14ac:dyDescent="0.35">
      <c r="A8" s="1">
        <v>0</v>
      </c>
      <c r="B8" s="1">
        <v>1.0344000000000001E-2</v>
      </c>
      <c r="C8" s="1">
        <v>0</v>
      </c>
      <c r="D8" s="1">
        <v>115.659638</v>
      </c>
      <c r="E8" s="1">
        <v>100.50646500000001</v>
      </c>
      <c r="F8" s="1">
        <v>0</v>
      </c>
      <c r="G8" s="1">
        <v>0</v>
      </c>
    </row>
    <row r="9" spans="1:29" x14ac:dyDescent="0.35">
      <c r="A9" s="1">
        <v>20</v>
      </c>
      <c r="B9" s="1">
        <v>1.002955</v>
      </c>
      <c r="C9" s="1">
        <v>158.28650500000001</v>
      </c>
      <c r="D9" s="1">
        <v>115.659638</v>
      </c>
      <c r="E9" s="1">
        <v>-36.947097999999997</v>
      </c>
      <c r="F9" s="1">
        <v>-0.59726999999999997</v>
      </c>
      <c r="G9" s="1">
        <v>0.14973</v>
      </c>
    </row>
    <row r="10" spans="1:29" x14ac:dyDescent="0.35">
      <c r="A10" s="1">
        <v>40</v>
      </c>
      <c r="B10" s="1">
        <v>1.7101109999999999</v>
      </c>
      <c r="C10" s="1">
        <v>93.928965000000005</v>
      </c>
      <c r="D10" s="1">
        <v>115.659638</v>
      </c>
      <c r="E10" s="1">
        <v>0.63952299999999995</v>
      </c>
      <c r="F10" s="1">
        <v>1.9161429999999999</v>
      </c>
      <c r="G10" s="1">
        <v>-0.98824299999999998</v>
      </c>
    </row>
    <row r="11" spans="1:29" x14ac:dyDescent="0.35">
      <c r="A11" s="1">
        <v>60</v>
      </c>
      <c r="B11" s="1">
        <v>2.450272</v>
      </c>
      <c r="C11" s="1">
        <v>71.497409000000005</v>
      </c>
      <c r="D11" s="1">
        <v>115.659638</v>
      </c>
      <c r="E11" s="1">
        <v>0.42699100000000001</v>
      </c>
      <c r="F11" s="1">
        <v>0.71392999999999995</v>
      </c>
      <c r="G11" s="1">
        <v>0.64485400000000004</v>
      </c>
    </row>
    <row r="12" spans="1:29" x14ac:dyDescent="0.35">
      <c r="A12" s="1">
        <v>80</v>
      </c>
      <c r="B12" s="1">
        <v>3.1268989999999999</v>
      </c>
      <c r="C12" s="1">
        <v>102.882256</v>
      </c>
      <c r="D12" s="1">
        <v>115.659638</v>
      </c>
      <c r="E12" s="1">
        <v>-2.5278420000000001</v>
      </c>
      <c r="F12" s="1">
        <v>-2.0090279999999998</v>
      </c>
      <c r="G12" s="1">
        <v>0.81579100000000004</v>
      </c>
    </row>
    <row r="13" spans="1:29" x14ac:dyDescent="0.35">
      <c r="A13" s="1">
        <v>100</v>
      </c>
      <c r="B13" s="1">
        <v>3.8071820000000001</v>
      </c>
      <c r="C13" s="1">
        <v>126.56766500000001</v>
      </c>
      <c r="D13" s="1">
        <v>115.659638</v>
      </c>
      <c r="E13" s="1">
        <v>-1.53671</v>
      </c>
      <c r="F13" s="1">
        <v>0.22964699999999999</v>
      </c>
      <c r="G13" s="1">
        <v>-1.2583690000000001</v>
      </c>
    </row>
    <row r="14" spans="1:29" x14ac:dyDescent="0.35">
      <c r="A14" s="1">
        <v>120</v>
      </c>
      <c r="B14" s="1">
        <v>4.5114349999999996</v>
      </c>
      <c r="C14" s="1">
        <v>80.355828000000002</v>
      </c>
      <c r="D14" s="1">
        <v>115.659638</v>
      </c>
      <c r="E14" s="1">
        <v>-0.60009999999999997</v>
      </c>
      <c r="F14" s="1">
        <v>2.0889720000000001</v>
      </c>
      <c r="G14" s="1">
        <v>2.255757</v>
      </c>
    </row>
    <row r="15" spans="1:29" x14ac:dyDescent="0.35">
      <c r="A15" s="1">
        <v>140</v>
      </c>
      <c r="B15" s="1">
        <v>5.2418209999999998</v>
      </c>
      <c r="C15" s="1">
        <v>103.53159100000001</v>
      </c>
      <c r="D15" s="1">
        <v>115.659638</v>
      </c>
      <c r="E15" s="1">
        <v>-0.61313899999999999</v>
      </c>
      <c r="F15" s="1">
        <v>-1.355891</v>
      </c>
      <c r="G15" s="1">
        <v>-0.14719199999999999</v>
      </c>
    </row>
    <row r="16" spans="1:29" x14ac:dyDescent="0.35">
      <c r="A16" s="1">
        <v>160</v>
      </c>
      <c r="B16" s="1">
        <v>5.8500920000000001</v>
      </c>
      <c r="C16" s="1">
        <v>114.278273</v>
      </c>
      <c r="D16" s="1">
        <v>115.659638</v>
      </c>
      <c r="E16" s="1">
        <v>0.15895500000000001</v>
      </c>
      <c r="F16" s="1">
        <v>-0.57730700000000001</v>
      </c>
      <c r="G16" s="1">
        <v>-2.2894999999999999E-2</v>
      </c>
    </row>
    <row r="17" spans="1:7" x14ac:dyDescent="0.35">
      <c r="A17" s="1">
        <v>180</v>
      </c>
      <c r="B17" s="1">
        <v>6.4541209999999998</v>
      </c>
      <c r="C17" s="1">
        <v>114.054563</v>
      </c>
      <c r="D17" s="1">
        <v>115.659638</v>
      </c>
      <c r="E17" s="1">
        <v>-0.58126500000000003</v>
      </c>
      <c r="F17" s="1">
        <v>2.0209899999999998</v>
      </c>
      <c r="G17" s="1">
        <v>2.7418450000000001</v>
      </c>
    </row>
    <row r="18" spans="1:7" x14ac:dyDescent="0.35">
      <c r="A18" s="1">
        <v>200</v>
      </c>
      <c r="B18" s="1">
        <v>7.0419260000000001</v>
      </c>
      <c r="C18" s="1">
        <v>130.55274</v>
      </c>
      <c r="D18" s="1">
        <v>115.659638</v>
      </c>
      <c r="E18" s="1">
        <v>-0.94203700000000001</v>
      </c>
      <c r="F18" s="1">
        <v>-1.1517770000000001</v>
      </c>
      <c r="G18" s="1">
        <v>-1.1797500000000001</v>
      </c>
    </row>
    <row r="19" spans="1:7" x14ac:dyDescent="0.35">
      <c r="A19" s="1">
        <v>220</v>
      </c>
      <c r="B19" s="1">
        <v>7.6159569999999999</v>
      </c>
      <c r="C19" s="1">
        <v>121.456913</v>
      </c>
      <c r="D19" s="1">
        <v>115.659638</v>
      </c>
      <c r="E19" s="1">
        <v>-1.165338</v>
      </c>
      <c r="F19" s="1">
        <v>3.3566379999999998</v>
      </c>
      <c r="G19" s="1">
        <v>-2.1305529999999999</v>
      </c>
    </row>
    <row r="20" spans="1:7" x14ac:dyDescent="0.35">
      <c r="A20" s="1">
        <v>240</v>
      </c>
      <c r="B20" s="1">
        <v>8.2275220000000004</v>
      </c>
      <c r="C20" s="1">
        <v>97.242956000000007</v>
      </c>
      <c r="D20" s="1">
        <v>115.659638</v>
      </c>
      <c r="E20" s="1">
        <v>1.9931399999999999</v>
      </c>
      <c r="F20" s="1">
        <v>1.7383409999999999</v>
      </c>
      <c r="G20" s="1">
        <v>0.24452699999999999</v>
      </c>
    </row>
    <row r="21" spans="1:7" x14ac:dyDescent="0.35">
      <c r="A21" s="1">
        <v>260</v>
      </c>
      <c r="B21" s="1">
        <v>8.8415330000000001</v>
      </c>
      <c r="C21" s="1">
        <v>125.133809</v>
      </c>
      <c r="D21" s="1">
        <v>115.659638</v>
      </c>
      <c r="E21" s="1">
        <v>0.86355000000000004</v>
      </c>
      <c r="F21" s="1">
        <v>-1.873559</v>
      </c>
      <c r="G21" s="1">
        <v>-0.151617</v>
      </c>
    </row>
    <row r="22" spans="1:7" x14ac:dyDescent="0.35">
      <c r="A22" s="1">
        <v>280</v>
      </c>
      <c r="B22" s="1">
        <v>9.3985970000000005</v>
      </c>
      <c r="C22" s="1">
        <v>127.326928</v>
      </c>
      <c r="D22" s="1">
        <v>115.659638</v>
      </c>
      <c r="E22" s="1">
        <v>-2.7316229999999999</v>
      </c>
      <c r="F22" s="1">
        <v>0.57135100000000005</v>
      </c>
      <c r="G22" s="1">
        <v>-1.877202</v>
      </c>
    </row>
    <row r="23" spans="1:7" x14ac:dyDescent="0.35">
      <c r="A23" s="1">
        <v>300</v>
      </c>
      <c r="B23" s="1">
        <v>9.9694479999999999</v>
      </c>
      <c r="C23" s="1">
        <v>123.919625</v>
      </c>
      <c r="D23" s="1">
        <v>115.659638</v>
      </c>
      <c r="E23" s="1">
        <v>-0.57609900000000003</v>
      </c>
      <c r="F23" s="1">
        <v>-2.177413</v>
      </c>
      <c r="G23" s="1">
        <v>1.3243E-2</v>
      </c>
    </row>
    <row r="24" spans="1:7" x14ac:dyDescent="0.35">
      <c r="A24" s="1">
        <v>320</v>
      </c>
      <c r="B24" s="1">
        <v>10.536581</v>
      </c>
      <c r="C24" s="1">
        <v>119.054322</v>
      </c>
      <c r="D24" s="1">
        <v>115.659638</v>
      </c>
      <c r="E24" s="1">
        <v>-0.41979</v>
      </c>
      <c r="F24" s="1">
        <v>1.915157</v>
      </c>
      <c r="G24" s="1">
        <v>2.181003</v>
      </c>
    </row>
    <row r="25" spans="1:7" x14ac:dyDescent="0.35">
      <c r="A25" s="1">
        <v>340</v>
      </c>
      <c r="B25" s="1">
        <v>11.094182</v>
      </c>
      <c r="C25" s="1">
        <v>120.406998</v>
      </c>
      <c r="D25" s="1">
        <v>115.659638</v>
      </c>
      <c r="E25" s="1">
        <v>0.60954200000000003</v>
      </c>
      <c r="F25" s="1">
        <v>0.16196099999999999</v>
      </c>
      <c r="G25" s="1">
        <v>-0.150951</v>
      </c>
    </row>
    <row r="26" spans="1:7" x14ac:dyDescent="0.35">
      <c r="A26" s="1">
        <v>360</v>
      </c>
      <c r="B26" s="1">
        <v>11.65293</v>
      </c>
      <c r="C26" s="1">
        <v>127.732281</v>
      </c>
      <c r="D26" s="1">
        <v>115.659638</v>
      </c>
      <c r="E26" s="1">
        <v>-2.0790769999999998</v>
      </c>
      <c r="F26" s="1">
        <v>-2.7692909999999999</v>
      </c>
      <c r="G26" s="1">
        <v>0.39951599999999998</v>
      </c>
    </row>
    <row r="27" spans="1:7" x14ac:dyDescent="0.35">
      <c r="A27" s="1">
        <v>380</v>
      </c>
      <c r="B27" s="1">
        <v>12.269817</v>
      </c>
      <c r="C27" s="1">
        <v>116.347234</v>
      </c>
      <c r="D27" s="1">
        <v>115.659638</v>
      </c>
      <c r="E27" s="1">
        <v>-6.5521999999999997E-2</v>
      </c>
      <c r="F27" s="1">
        <v>-0.288609</v>
      </c>
      <c r="G27" s="1">
        <v>-1.6546970000000001</v>
      </c>
    </row>
    <row r="28" spans="1:7" x14ac:dyDescent="0.35">
      <c r="A28" s="1">
        <v>400</v>
      </c>
      <c r="B28" s="1">
        <v>12.865403000000001</v>
      </c>
      <c r="C28" s="1">
        <v>112.207713</v>
      </c>
      <c r="D28" s="1">
        <v>115.659638</v>
      </c>
      <c r="E28" s="1">
        <v>-0.66813</v>
      </c>
      <c r="F28" s="1">
        <v>2.4831799999999999</v>
      </c>
      <c r="G28" s="1">
        <v>1.1228819999999999</v>
      </c>
    </row>
    <row r="29" spans="1:7" x14ac:dyDescent="0.35">
      <c r="A29" s="1">
        <v>420</v>
      </c>
      <c r="B29" s="1">
        <v>13.459225999999999</v>
      </c>
      <c r="C29" s="1">
        <v>112.450507</v>
      </c>
      <c r="D29" s="1">
        <v>115.659638</v>
      </c>
      <c r="E29" s="1">
        <v>-0.96465699999999999</v>
      </c>
      <c r="F29" s="1">
        <v>-2.7267990000000002</v>
      </c>
      <c r="G29" s="1">
        <v>1.680167</v>
      </c>
    </row>
    <row r="30" spans="1:7" x14ac:dyDescent="0.35">
      <c r="A30" s="1">
        <v>440</v>
      </c>
      <c r="B30" s="1">
        <v>14.233458000000001</v>
      </c>
      <c r="C30" s="1">
        <v>108.939182</v>
      </c>
      <c r="D30" s="1">
        <v>115.659638</v>
      </c>
      <c r="E30" s="1">
        <v>0.83935199999999999</v>
      </c>
      <c r="F30" s="1">
        <v>2.6632699999999998</v>
      </c>
      <c r="G30" s="1">
        <v>-1.3855599999999999</v>
      </c>
    </row>
    <row r="31" spans="1:7" x14ac:dyDescent="0.35">
      <c r="A31" s="1">
        <v>460</v>
      </c>
      <c r="B31" s="1">
        <v>14.840280999999999</v>
      </c>
      <c r="C31" s="1">
        <v>105.962152</v>
      </c>
      <c r="D31" s="1">
        <v>115.659638</v>
      </c>
      <c r="E31" s="1">
        <v>0.81292600000000004</v>
      </c>
      <c r="F31" s="1">
        <v>7.0244000000000001E-2</v>
      </c>
      <c r="G31" s="1">
        <v>-1.509101</v>
      </c>
    </row>
    <row r="32" spans="1:7" x14ac:dyDescent="0.35">
      <c r="A32" s="1">
        <v>480</v>
      </c>
      <c r="B32" s="1">
        <v>15.46218</v>
      </c>
      <c r="C32" s="1">
        <v>105.36701100000001</v>
      </c>
      <c r="D32" s="1">
        <v>115.659638</v>
      </c>
      <c r="E32" s="1">
        <v>-1.9806630000000001</v>
      </c>
      <c r="F32" s="1">
        <v>-0.15378600000000001</v>
      </c>
      <c r="G32" s="1">
        <v>2.2491219999999998</v>
      </c>
    </row>
    <row r="33" spans="1:7" x14ac:dyDescent="0.35">
      <c r="A33" s="1">
        <v>500</v>
      </c>
      <c r="B33" s="1">
        <v>16.102958999999998</v>
      </c>
      <c r="C33" s="1">
        <v>118.805981</v>
      </c>
      <c r="D33" s="1">
        <v>115.659638</v>
      </c>
      <c r="E33" s="1">
        <v>0.59341900000000003</v>
      </c>
      <c r="F33" s="1">
        <v>-0.61691200000000002</v>
      </c>
      <c r="G33" s="1">
        <v>-0.40688999999999997</v>
      </c>
    </row>
    <row r="34" spans="1:7" x14ac:dyDescent="0.35">
      <c r="A34" s="1">
        <v>520</v>
      </c>
      <c r="B34" s="1">
        <v>16.713629999999998</v>
      </c>
      <c r="C34" s="1">
        <v>100.056214</v>
      </c>
      <c r="D34" s="1">
        <v>115.659638</v>
      </c>
      <c r="E34" s="1">
        <v>-1.1988080000000001</v>
      </c>
      <c r="F34" s="1">
        <v>2.100778</v>
      </c>
      <c r="G34" s="1">
        <v>-1.7939719999999999</v>
      </c>
    </row>
    <row r="35" spans="1:7" x14ac:dyDescent="0.35">
      <c r="A35" s="1">
        <v>540</v>
      </c>
      <c r="B35" s="1">
        <v>17.388680999999998</v>
      </c>
      <c r="C35" s="1">
        <v>96.263794000000004</v>
      </c>
      <c r="D35" s="1">
        <v>115.659638</v>
      </c>
      <c r="E35" s="1">
        <v>-0.74682499999999996</v>
      </c>
      <c r="F35" s="1">
        <v>-2.7763689999999999</v>
      </c>
      <c r="G35" s="1">
        <v>2.1460810000000001</v>
      </c>
    </row>
    <row r="36" spans="1:7" x14ac:dyDescent="0.35">
      <c r="A36" s="1">
        <v>560</v>
      </c>
      <c r="B36" s="1">
        <v>18.038287</v>
      </c>
      <c r="C36" s="1">
        <v>111.735545</v>
      </c>
      <c r="D36" s="1">
        <v>115.659638</v>
      </c>
      <c r="E36" s="1">
        <v>0.513741</v>
      </c>
      <c r="F36" s="1">
        <v>1.32176</v>
      </c>
      <c r="G36" s="1">
        <v>0.25697799999999998</v>
      </c>
    </row>
    <row r="37" spans="1:7" x14ac:dyDescent="0.35">
      <c r="A37" s="1">
        <v>580</v>
      </c>
      <c r="B37" s="1">
        <v>18.640512999999999</v>
      </c>
      <c r="C37" s="1">
        <v>117.771126</v>
      </c>
      <c r="D37" s="1">
        <v>115.659638</v>
      </c>
      <c r="E37" s="1">
        <v>-1.9835389999999999</v>
      </c>
      <c r="F37" s="1">
        <v>-0.1754</v>
      </c>
      <c r="G37" s="1">
        <v>-5.4454000000000002E-2</v>
      </c>
    </row>
    <row r="38" spans="1:7" x14ac:dyDescent="0.35">
      <c r="A38" s="1">
        <v>600</v>
      </c>
      <c r="B38" s="1">
        <v>19.211663000000001</v>
      </c>
      <c r="C38" s="1">
        <v>119.01566200000001</v>
      </c>
      <c r="D38" s="1">
        <v>115.659638</v>
      </c>
      <c r="E38" s="1">
        <v>1.905918</v>
      </c>
      <c r="F38" s="1">
        <v>-3.9936419999999999</v>
      </c>
      <c r="G38" s="1">
        <v>1.1649959999999999</v>
      </c>
    </row>
    <row r="39" spans="1:7" x14ac:dyDescent="0.35">
      <c r="A39" s="1">
        <v>620</v>
      </c>
      <c r="B39" s="1">
        <v>19.784607000000001</v>
      </c>
      <c r="C39" s="1">
        <v>107.84941999999999</v>
      </c>
      <c r="D39" s="1">
        <v>115.659638</v>
      </c>
      <c r="E39" s="1">
        <v>-1.87104</v>
      </c>
      <c r="F39" s="1">
        <v>2.7541099999999998</v>
      </c>
      <c r="G39" s="1">
        <v>0.54644700000000002</v>
      </c>
    </row>
    <row r="40" spans="1:7" x14ac:dyDescent="0.35">
      <c r="A40" s="1">
        <v>640</v>
      </c>
      <c r="B40" s="1">
        <v>20.381148</v>
      </c>
      <c r="C40" s="1">
        <v>110.911153</v>
      </c>
      <c r="D40" s="1">
        <v>115.659638</v>
      </c>
      <c r="E40" s="1">
        <v>-1.1238E-2</v>
      </c>
      <c r="F40" s="1">
        <v>0.34052199999999999</v>
      </c>
      <c r="G40" s="1">
        <v>-2.7462610000000001</v>
      </c>
    </row>
    <row r="41" spans="1:7" x14ac:dyDescent="0.35">
      <c r="A41" s="1">
        <v>660</v>
      </c>
      <c r="B41" s="1">
        <v>20.976379999999999</v>
      </c>
      <c r="C41" s="1">
        <v>108.599456</v>
      </c>
      <c r="D41" s="1">
        <v>115.659638</v>
      </c>
      <c r="E41" s="1">
        <v>-0.27808100000000002</v>
      </c>
      <c r="F41" s="1">
        <v>0.21426799999999999</v>
      </c>
      <c r="G41" s="1">
        <v>0.38271899999999998</v>
      </c>
    </row>
    <row r="42" spans="1:7" x14ac:dyDescent="0.35">
      <c r="A42" s="1">
        <v>680</v>
      </c>
      <c r="B42" s="1">
        <v>21.541892000000001</v>
      </c>
      <c r="C42" s="1">
        <v>121.55938</v>
      </c>
      <c r="D42" s="1">
        <v>115.659638</v>
      </c>
      <c r="E42" s="1">
        <v>-0.70809699999999998</v>
      </c>
      <c r="F42" s="1">
        <v>0.41097299999999998</v>
      </c>
      <c r="G42" s="1">
        <v>1.2471859999999999</v>
      </c>
    </row>
    <row r="43" spans="1:7" x14ac:dyDescent="0.35">
      <c r="A43" s="1">
        <v>700</v>
      </c>
      <c r="B43" s="1">
        <v>22.158107999999999</v>
      </c>
      <c r="C43" s="1">
        <v>116.503777</v>
      </c>
      <c r="D43" s="1">
        <v>115.659638</v>
      </c>
      <c r="E43" s="1">
        <v>0.18932399999999999</v>
      </c>
      <c r="F43" s="1">
        <v>-0.94793899999999998</v>
      </c>
      <c r="G43" s="1">
        <v>1.796252</v>
      </c>
    </row>
    <row r="44" spans="1:7" x14ac:dyDescent="0.35">
      <c r="A44" s="1">
        <v>720</v>
      </c>
      <c r="B44" s="1">
        <v>22.764748999999998</v>
      </c>
      <c r="C44" s="1">
        <v>125.484498</v>
      </c>
      <c r="D44" s="1">
        <v>115.659638</v>
      </c>
      <c r="E44" s="1">
        <v>-2.6606529999999999</v>
      </c>
      <c r="F44" s="1">
        <v>-0.57007600000000003</v>
      </c>
      <c r="G44" s="1">
        <v>-2.7253599999999998</v>
      </c>
    </row>
    <row r="45" spans="1:7" x14ac:dyDescent="0.35">
      <c r="A45" s="1">
        <v>740</v>
      </c>
      <c r="B45" s="1">
        <v>23.346323000000002</v>
      </c>
      <c r="C45" s="1">
        <v>109.58277</v>
      </c>
      <c r="D45" s="1">
        <v>115.659638</v>
      </c>
      <c r="E45" s="1">
        <v>0.84225700000000003</v>
      </c>
      <c r="F45" s="1">
        <v>-0.63505999999999996</v>
      </c>
      <c r="G45" s="1">
        <v>-0.33157599999999998</v>
      </c>
    </row>
    <row r="46" spans="1:7" x14ac:dyDescent="0.35">
      <c r="A46" s="1">
        <v>760</v>
      </c>
      <c r="B46" s="1">
        <v>23.930624000000002</v>
      </c>
      <c r="C46" s="1">
        <v>104.333765</v>
      </c>
      <c r="D46" s="1">
        <v>115.659638</v>
      </c>
      <c r="E46" s="1">
        <v>1.590678</v>
      </c>
      <c r="F46" s="1">
        <v>2.8183850000000001</v>
      </c>
      <c r="G46" s="1">
        <v>-1.55775</v>
      </c>
    </row>
    <row r="47" spans="1:7" x14ac:dyDescent="0.35">
      <c r="A47" s="1">
        <v>780</v>
      </c>
      <c r="B47" s="1">
        <v>24.510607</v>
      </c>
      <c r="C47" s="1">
        <v>104.949093</v>
      </c>
      <c r="D47" s="1">
        <v>115.659638</v>
      </c>
      <c r="E47" s="1">
        <v>1.2236340000000001</v>
      </c>
      <c r="F47" s="1">
        <v>-6.6E-3</v>
      </c>
      <c r="G47" s="1">
        <v>0.660057</v>
      </c>
    </row>
    <row r="48" spans="1:7" x14ac:dyDescent="0.35">
      <c r="A48" s="1">
        <v>800</v>
      </c>
      <c r="B48" s="1">
        <v>25.118880000000001</v>
      </c>
      <c r="C48" s="1">
        <v>109.717482</v>
      </c>
      <c r="D48" s="1">
        <v>115.659638</v>
      </c>
      <c r="E48" s="1">
        <v>-1.4925360000000001</v>
      </c>
      <c r="F48" s="1">
        <v>-0.31462000000000001</v>
      </c>
      <c r="G48" s="1">
        <v>0.44719300000000001</v>
      </c>
    </row>
    <row r="49" spans="1:7" x14ac:dyDescent="0.35">
      <c r="A49" s="1">
        <v>820</v>
      </c>
      <c r="B49" s="1">
        <v>25.702231000000001</v>
      </c>
      <c r="C49" s="1">
        <v>105.498053</v>
      </c>
      <c r="D49" s="1">
        <v>115.659638</v>
      </c>
      <c r="E49" s="1">
        <v>-0.72595200000000004</v>
      </c>
      <c r="F49" s="1">
        <v>2.8215330000000001</v>
      </c>
      <c r="G49" s="1">
        <v>-0.35713200000000001</v>
      </c>
    </row>
    <row r="50" spans="1:7" x14ac:dyDescent="0.35">
      <c r="A50" s="1">
        <v>840</v>
      </c>
      <c r="B50" s="1">
        <v>26.307721999999998</v>
      </c>
      <c r="C50" s="1">
        <v>108.110125</v>
      </c>
      <c r="D50" s="1">
        <v>115.659638</v>
      </c>
      <c r="E50" s="1">
        <v>-0.46161799999999997</v>
      </c>
      <c r="F50" s="1">
        <v>-0.443714</v>
      </c>
      <c r="G50" s="1">
        <v>-0.29691000000000001</v>
      </c>
    </row>
    <row r="51" spans="1:7" x14ac:dyDescent="0.35">
      <c r="A51" s="1">
        <v>860</v>
      </c>
      <c r="B51" s="1">
        <v>26.932309</v>
      </c>
      <c r="C51" s="1">
        <v>108.099755</v>
      </c>
      <c r="D51" s="1">
        <v>115.659638</v>
      </c>
      <c r="E51" s="1">
        <v>0.12313</v>
      </c>
      <c r="F51" s="1">
        <v>-1.7915399999999999</v>
      </c>
      <c r="G51" s="1">
        <v>1.9096500000000001</v>
      </c>
    </row>
    <row r="52" spans="1:7" x14ac:dyDescent="0.35">
      <c r="A52" s="1">
        <v>880</v>
      </c>
      <c r="B52" s="1">
        <v>27.537389000000001</v>
      </c>
      <c r="C52" s="1">
        <v>110.678273</v>
      </c>
      <c r="D52" s="1">
        <v>115.659638</v>
      </c>
      <c r="E52" s="1">
        <v>-8.6799000000000001E-2</v>
      </c>
      <c r="F52" s="1">
        <v>2.0723220000000002</v>
      </c>
      <c r="G52" s="1">
        <v>1.989123</v>
      </c>
    </row>
    <row r="53" spans="1:7" x14ac:dyDescent="0.35">
      <c r="A53" s="1">
        <v>900</v>
      </c>
      <c r="B53" s="1">
        <v>28.145251999999999</v>
      </c>
      <c r="C53" s="1">
        <v>115.25821999999999</v>
      </c>
      <c r="D53" s="1">
        <v>115.659638</v>
      </c>
      <c r="E53" s="1">
        <v>-0.38128800000000002</v>
      </c>
      <c r="F53" s="1">
        <v>-8.1545999999999993E-2</v>
      </c>
      <c r="G53" s="1">
        <v>0.12239</v>
      </c>
    </row>
    <row r="54" spans="1:7" x14ac:dyDescent="0.35">
      <c r="A54" s="1">
        <v>920</v>
      </c>
      <c r="B54" s="1">
        <v>28.737369999999999</v>
      </c>
      <c r="C54" s="1">
        <v>115.382313</v>
      </c>
      <c r="D54" s="1">
        <v>115.659638</v>
      </c>
      <c r="E54" s="1">
        <v>-0.30307099999999998</v>
      </c>
      <c r="F54" s="1">
        <v>-1.1000509999999999</v>
      </c>
      <c r="G54" s="1">
        <v>-1.7015370000000001</v>
      </c>
    </row>
    <row r="55" spans="1:7" x14ac:dyDescent="0.35">
      <c r="A55" s="1">
        <v>940</v>
      </c>
      <c r="B55" s="1">
        <v>29.339642000000001</v>
      </c>
      <c r="C55" s="1">
        <v>121.34693</v>
      </c>
      <c r="D55" s="1">
        <v>115.659638</v>
      </c>
      <c r="E55" s="1">
        <v>1.2508170000000001</v>
      </c>
      <c r="F55" s="1">
        <v>5.3801000000000002E-2</v>
      </c>
      <c r="G55" s="1">
        <v>-2.4750000000000001E-2</v>
      </c>
    </row>
    <row r="56" spans="1:7" x14ac:dyDescent="0.35">
      <c r="A56" s="1">
        <v>960</v>
      </c>
      <c r="B56" s="1">
        <v>29.926974999999999</v>
      </c>
      <c r="C56" s="1">
        <v>114.797854</v>
      </c>
      <c r="D56" s="1">
        <v>115.659638</v>
      </c>
      <c r="E56" s="1">
        <v>-2.5955530000000002</v>
      </c>
      <c r="F56" s="1">
        <v>-1.3516319999999999</v>
      </c>
      <c r="G56" s="1">
        <v>1.0054000000000001</v>
      </c>
    </row>
    <row r="57" spans="1:7" x14ac:dyDescent="0.35">
      <c r="A57" s="1">
        <v>980</v>
      </c>
      <c r="B57" s="1">
        <v>30.515072</v>
      </c>
      <c r="C57" s="1">
        <v>110.845185</v>
      </c>
      <c r="D57" s="1">
        <v>115.659638</v>
      </c>
      <c r="E57" s="1">
        <v>0.99319900000000005</v>
      </c>
      <c r="F57" s="1">
        <v>-1.4898979999999999</v>
      </c>
      <c r="G57" s="1">
        <v>-2.0532620000000001</v>
      </c>
    </row>
    <row r="58" spans="1:7" x14ac:dyDescent="0.35">
      <c r="A58" s="1">
        <v>1000</v>
      </c>
      <c r="B58" s="1">
        <v>31.158156000000002</v>
      </c>
      <c r="C58" s="1">
        <v>78.390120999999994</v>
      </c>
      <c r="D58" s="1">
        <v>115.659638</v>
      </c>
      <c r="E58" s="1">
        <v>-1.433578</v>
      </c>
      <c r="F58" s="1">
        <v>1.3438209999999999</v>
      </c>
      <c r="G58" s="1">
        <v>0.70737499999999998</v>
      </c>
    </row>
    <row r="59" spans="1:7" x14ac:dyDescent="0.35">
      <c r="A59" s="1">
        <v>1020</v>
      </c>
      <c r="B59" s="1">
        <v>31.877986</v>
      </c>
      <c r="C59" s="1">
        <v>86.634015000000005</v>
      </c>
      <c r="D59" s="1">
        <v>115.659638</v>
      </c>
      <c r="E59" s="1">
        <v>1.884727</v>
      </c>
      <c r="F59" s="1">
        <v>2.6600679999999999</v>
      </c>
      <c r="G59" s="1">
        <v>0.76916799999999996</v>
      </c>
    </row>
    <row r="60" spans="1:7" x14ac:dyDescent="0.35">
      <c r="A60" s="1">
        <v>1040</v>
      </c>
      <c r="B60" s="1">
        <v>32.479968</v>
      </c>
      <c r="C60" s="1">
        <v>102.970703</v>
      </c>
      <c r="D60" s="1">
        <v>115.659638</v>
      </c>
      <c r="E60" s="1">
        <v>0.71102799999999999</v>
      </c>
      <c r="F60" s="1">
        <v>0.13597000000000001</v>
      </c>
      <c r="G60" s="1">
        <v>0.76588999999999996</v>
      </c>
    </row>
    <row r="61" spans="1:7" x14ac:dyDescent="0.35">
      <c r="A61" s="1">
        <v>1060</v>
      </c>
      <c r="B61" s="1">
        <v>33.086754999999997</v>
      </c>
      <c r="C61" s="1">
        <v>115.980183</v>
      </c>
      <c r="D61" s="1">
        <v>115.659638</v>
      </c>
      <c r="E61" s="1">
        <v>-4.3973870000000002</v>
      </c>
      <c r="F61" s="1">
        <v>-1.5461320000000001</v>
      </c>
      <c r="G61" s="1">
        <v>-2.0517970000000001</v>
      </c>
    </row>
    <row r="62" spans="1:7" x14ac:dyDescent="0.35">
      <c r="A62" s="1">
        <v>1080</v>
      </c>
      <c r="B62" s="1">
        <v>33.689290999999997</v>
      </c>
      <c r="C62" s="1">
        <v>109.479607</v>
      </c>
      <c r="D62" s="1">
        <v>115.659638</v>
      </c>
      <c r="E62" s="1">
        <v>1.2821260000000001</v>
      </c>
      <c r="F62" s="1">
        <v>-2.1945209999999999</v>
      </c>
      <c r="G62" s="1">
        <v>0.85811999999999999</v>
      </c>
    </row>
    <row r="63" spans="1:7" x14ac:dyDescent="0.35">
      <c r="A63" s="1">
        <v>1100</v>
      </c>
      <c r="B63" s="1">
        <v>34.257818999999998</v>
      </c>
      <c r="C63" s="1">
        <v>107.838094</v>
      </c>
      <c r="D63" s="1">
        <v>115.659638</v>
      </c>
      <c r="E63" s="1">
        <v>2.1612179999999999</v>
      </c>
      <c r="F63" s="1">
        <v>-0.68593599999999999</v>
      </c>
      <c r="G63" s="1">
        <v>-0.26764300000000002</v>
      </c>
    </row>
    <row r="64" spans="1:7" x14ac:dyDescent="0.35">
      <c r="A64" s="1">
        <v>1120</v>
      </c>
      <c r="B64" s="1">
        <v>34.847543999999999</v>
      </c>
      <c r="C64" s="1">
        <v>115.468418</v>
      </c>
      <c r="D64" s="1">
        <v>115.659638</v>
      </c>
      <c r="E64" s="1">
        <v>-0.61633700000000002</v>
      </c>
      <c r="F64" s="1">
        <v>-1.7323770000000001</v>
      </c>
      <c r="G64" s="1">
        <v>-0.43870999999999999</v>
      </c>
    </row>
    <row r="65" spans="1:7" x14ac:dyDescent="0.35">
      <c r="A65" s="1">
        <v>1140</v>
      </c>
      <c r="B65" s="1">
        <v>35.422058999999997</v>
      </c>
      <c r="C65" s="1">
        <v>116.60127900000001</v>
      </c>
      <c r="D65" s="1">
        <v>115.659638</v>
      </c>
      <c r="E65" s="1">
        <v>1.622128</v>
      </c>
      <c r="F65" s="1">
        <v>0.21285899999999999</v>
      </c>
      <c r="G65" s="1">
        <v>0.81035699999999999</v>
      </c>
    </row>
    <row r="66" spans="1:7" x14ac:dyDescent="0.35">
      <c r="A66" s="1">
        <v>1160</v>
      </c>
      <c r="B66" s="1">
        <v>36.127828000000001</v>
      </c>
      <c r="C66" s="1">
        <v>103.231195</v>
      </c>
      <c r="D66" s="1">
        <v>115.659638</v>
      </c>
      <c r="E66" s="1">
        <v>-0.58751399999999998</v>
      </c>
      <c r="F66" s="1">
        <v>1.790581</v>
      </c>
      <c r="G66" s="1">
        <v>-0.52942599999999995</v>
      </c>
    </row>
    <row r="67" spans="1:7" x14ac:dyDescent="0.35">
      <c r="A67" s="1">
        <v>1180</v>
      </c>
      <c r="B67" s="1">
        <v>36.865765000000003</v>
      </c>
      <c r="C67" s="1">
        <v>75.556076000000004</v>
      </c>
      <c r="D67" s="1">
        <v>115.659638</v>
      </c>
      <c r="E67" s="1">
        <v>2.2386499999999998</v>
      </c>
      <c r="F67" s="1">
        <v>0.20286299999999999</v>
      </c>
      <c r="G67" s="1">
        <v>2.7607080000000002</v>
      </c>
    </row>
    <row r="68" spans="1:7" x14ac:dyDescent="0.35">
      <c r="A68" s="1">
        <v>1200</v>
      </c>
      <c r="B68" s="1">
        <v>37.575068999999999</v>
      </c>
      <c r="C68" s="1">
        <v>81.014488999999998</v>
      </c>
      <c r="D68" s="1">
        <v>115.659638</v>
      </c>
      <c r="E68" s="1">
        <v>8.5474999999999995E-2</v>
      </c>
      <c r="F68" s="1">
        <v>-1.458961</v>
      </c>
      <c r="G68" s="1">
        <v>-2.0072779999999999</v>
      </c>
    </row>
    <row r="69" spans="1:7" x14ac:dyDescent="0.35">
      <c r="A69" s="1">
        <v>1220</v>
      </c>
      <c r="B69" s="1">
        <v>38.378751999999999</v>
      </c>
      <c r="C69" s="1">
        <v>100.58443800000001</v>
      </c>
      <c r="D69" s="1">
        <v>115.659638</v>
      </c>
      <c r="E69" s="1">
        <v>-0.59574800000000006</v>
      </c>
      <c r="F69" s="1">
        <v>1.7074549999999999</v>
      </c>
      <c r="G69" s="1">
        <v>-1.7813190000000001</v>
      </c>
    </row>
    <row r="70" spans="1:7" x14ac:dyDescent="0.35">
      <c r="A70" s="1">
        <v>1240</v>
      </c>
      <c r="B70" s="1">
        <v>39.088189999999997</v>
      </c>
      <c r="C70" s="1">
        <v>68.773702</v>
      </c>
      <c r="D70" s="1">
        <v>115.659638</v>
      </c>
      <c r="E70" s="1">
        <v>-0.270646</v>
      </c>
      <c r="F70" s="1">
        <v>-0.60303700000000005</v>
      </c>
      <c r="G70" s="1">
        <v>1.087458</v>
      </c>
    </row>
    <row r="71" spans="1:7" x14ac:dyDescent="0.35">
      <c r="A71" s="1">
        <v>1260</v>
      </c>
      <c r="B71" s="1">
        <v>39.796847</v>
      </c>
      <c r="C71" s="1">
        <v>110.02753300000001</v>
      </c>
      <c r="D71" s="1">
        <v>115.659638</v>
      </c>
      <c r="E71" s="1">
        <v>1.7574719999999999</v>
      </c>
      <c r="F71" s="1">
        <v>0.15978200000000001</v>
      </c>
      <c r="G71" s="1">
        <v>1.4260980000000001</v>
      </c>
    </row>
    <row r="72" spans="1:7" x14ac:dyDescent="0.35">
      <c r="A72" s="1">
        <v>1280</v>
      </c>
      <c r="B72" s="1">
        <v>40.446660999999999</v>
      </c>
      <c r="C72" s="1">
        <v>100.886692</v>
      </c>
      <c r="D72" s="1">
        <v>115.659638</v>
      </c>
      <c r="E72" s="1">
        <v>-1.419289</v>
      </c>
      <c r="F72" s="1">
        <v>0.51530600000000004</v>
      </c>
      <c r="G72" s="1">
        <v>-0.42468</v>
      </c>
    </row>
    <row r="73" spans="1:7" x14ac:dyDescent="0.35">
      <c r="A73" s="1">
        <v>1300</v>
      </c>
      <c r="B73" s="1">
        <v>41.063302999999998</v>
      </c>
      <c r="C73" s="1">
        <v>108.498801</v>
      </c>
      <c r="D73" s="1">
        <v>115.659638</v>
      </c>
      <c r="E73" s="1">
        <v>-0.91191900000000004</v>
      </c>
      <c r="F73" s="1">
        <v>1.2870429999999999</v>
      </c>
      <c r="G73" s="1">
        <v>-0.86693799999999999</v>
      </c>
    </row>
    <row r="74" spans="1:7" x14ac:dyDescent="0.35">
      <c r="A74" s="1">
        <v>1320</v>
      </c>
      <c r="B74" s="1">
        <v>41.689252000000003</v>
      </c>
      <c r="C74" s="1">
        <v>124.652834</v>
      </c>
      <c r="D74" s="1">
        <v>115.659638</v>
      </c>
      <c r="E74" s="1">
        <v>-0.329293</v>
      </c>
      <c r="F74" s="1">
        <v>-1.215776</v>
      </c>
      <c r="G74" s="1">
        <v>1.4713E-2</v>
      </c>
    </row>
    <row r="75" spans="1:7" x14ac:dyDescent="0.35">
      <c r="A75" s="1">
        <v>1340</v>
      </c>
      <c r="B75" s="1">
        <v>42.336129999999997</v>
      </c>
      <c r="C75" s="1">
        <v>109.048615</v>
      </c>
      <c r="D75" s="1">
        <v>115.659638</v>
      </c>
      <c r="E75" s="1">
        <v>-1.3006359999999999</v>
      </c>
      <c r="F75" s="1">
        <v>-0.413717</v>
      </c>
      <c r="G75" s="1">
        <v>0.182393</v>
      </c>
    </row>
    <row r="76" spans="1:7" x14ac:dyDescent="0.35">
      <c r="A76" s="1">
        <v>1360</v>
      </c>
      <c r="B76" s="1">
        <v>42.937821</v>
      </c>
      <c r="C76" s="1">
        <v>101.655209</v>
      </c>
      <c r="D76" s="1">
        <v>115.659638</v>
      </c>
      <c r="E76" s="1">
        <v>1.6689149999999999</v>
      </c>
      <c r="F76" s="1">
        <v>-0.45023800000000003</v>
      </c>
      <c r="G76" s="1">
        <v>0.32827200000000001</v>
      </c>
    </row>
    <row r="77" spans="1:7" x14ac:dyDescent="0.35">
      <c r="A77" s="1">
        <v>1380</v>
      </c>
      <c r="B77" s="1">
        <v>43.537458000000001</v>
      </c>
      <c r="C77" s="1">
        <v>115.79798599999999</v>
      </c>
      <c r="D77" s="1">
        <v>115.659638</v>
      </c>
      <c r="E77" s="1">
        <v>-0.51407899999999995</v>
      </c>
      <c r="F77" s="1">
        <v>0.34052100000000002</v>
      </c>
      <c r="G77" s="1">
        <v>-1.9828809999999999</v>
      </c>
    </row>
    <row r="78" spans="1:7" x14ac:dyDescent="0.35">
      <c r="A78" s="1">
        <v>1400</v>
      </c>
      <c r="B78" s="1">
        <v>44.159773999999999</v>
      </c>
      <c r="C78" s="1">
        <v>93.704226000000006</v>
      </c>
      <c r="D78" s="1">
        <v>115.659638</v>
      </c>
      <c r="E78" s="1">
        <v>0.318359</v>
      </c>
      <c r="F78" s="1">
        <v>1.0034959999999999</v>
      </c>
      <c r="G78" s="1">
        <v>2.4739770000000001</v>
      </c>
    </row>
    <row r="79" spans="1:7" x14ac:dyDescent="0.35">
      <c r="A79" s="1">
        <v>1420</v>
      </c>
      <c r="B79" s="1">
        <v>44.772218000000002</v>
      </c>
      <c r="C79" s="1">
        <v>125.03746599999999</v>
      </c>
      <c r="D79" s="1">
        <v>115.659638</v>
      </c>
      <c r="E79" s="1">
        <v>-2.1858339999999998</v>
      </c>
      <c r="F79" s="1">
        <v>-1.397661</v>
      </c>
      <c r="G79" s="1">
        <v>3.9031999999999997E-2</v>
      </c>
    </row>
    <row r="80" spans="1:7" x14ac:dyDescent="0.35">
      <c r="A80" s="1">
        <v>1440</v>
      </c>
      <c r="B80" s="1">
        <v>45.368915999999999</v>
      </c>
      <c r="C80" s="1">
        <v>116.39518099999999</v>
      </c>
      <c r="D80" s="1">
        <v>115.659638</v>
      </c>
      <c r="E80" s="1">
        <v>2.4846110000000001</v>
      </c>
      <c r="F80" s="1">
        <v>0.56112499999999998</v>
      </c>
      <c r="G80" s="1">
        <v>-1.41011</v>
      </c>
    </row>
    <row r="81" spans="1:7" x14ac:dyDescent="0.35">
      <c r="A81" s="1">
        <v>1460</v>
      </c>
      <c r="B81" s="1">
        <v>45.945614999999997</v>
      </c>
      <c r="C81" s="1">
        <v>103.17628999999999</v>
      </c>
      <c r="D81" s="1">
        <v>115.659638</v>
      </c>
      <c r="E81" s="1">
        <v>2.893065</v>
      </c>
      <c r="F81" s="1">
        <v>0.13548099999999999</v>
      </c>
      <c r="G81" s="1">
        <v>2.2389809999999999</v>
      </c>
    </row>
    <row r="82" spans="1:7" x14ac:dyDescent="0.35">
      <c r="A82" s="1">
        <v>1480</v>
      </c>
      <c r="B82" s="1">
        <v>46.560702999999997</v>
      </c>
      <c r="C82" s="1">
        <v>103.194147</v>
      </c>
      <c r="D82" s="1">
        <v>115.659638</v>
      </c>
      <c r="E82" s="1">
        <v>-0.58464499999999997</v>
      </c>
      <c r="F82" s="1">
        <v>-3.0084040000000001</v>
      </c>
      <c r="G82" s="1">
        <v>-0.77618100000000001</v>
      </c>
    </row>
    <row r="83" spans="1:7" x14ac:dyDescent="0.35">
      <c r="A83" s="1">
        <v>1500</v>
      </c>
      <c r="B83" s="1">
        <v>47.181435999999998</v>
      </c>
      <c r="C83" s="1">
        <v>102.974622</v>
      </c>
      <c r="D83" s="1">
        <v>115.659638</v>
      </c>
      <c r="E83" s="1">
        <v>0.78375600000000001</v>
      </c>
      <c r="F83" s="1">
        <v>1.741466</v>
      </c>
      <c r="G83" s="1">
        <v>8.6666999999999994E-2</v>
      </c>
    </row>
    <row r="84" spans="1:7" x14ac:dyDescent="0.35">
      <c r="A84" s="1">
        <v>1520</v>
      </c>
      <c r="B84" s="1">
        <v>47.787613</v>
      </c>
      <c r="C84" s="1">
        <v>128.06803600000001</v>
      </c>
      <c r="D84" s="1">
        <v>115.659638</v>
      </c>
      <c r="E84" s="1">
        <v>-1.8980939999999999</v>
      </c>
      <c r="F84" s="1">
        <v>-2.0398860000000001</v>
      </c>
      <c r="G84" s="1">
        <v>-1.4606490000000001</v>
      </c>
    </row>
    <row r="85" spans="1:7" x14ac:dyDescent="0.35">
      <c r="A85" s="1">
        <v>1540</v>
      </c>
      <c r="B85" s="1">
        <v>48.426180000000002</v>
      </c>
      <c r="C85" s="1">
        <v>97.358044000000007</v>
      </c>
      <c r="D85" s="1">
        <v>115.659638</v>
      </c>
      <c r="E85" s="1">
        <v>0.34271200000000002</v>
      </c>
      <c r="F85" s="1">
        <v>-1.2026110000000001</v>
      </c>
      <c r="G85" s="1">
        <v>0.38552999999999998</v>
      </c>
    </row>
    <row r="86" spans="1:7" x14ac:dyDescent="0.35">
      <c r="A86" s="1">
        <v>1560</v>
      </c>
      <c r="B86" s="1">
        <v>49.134928000000002</v>
      </c>
      <c r="C86" s="1">
        <v>103.35659099999999</v>
      </c>
      <c r="D86" s="1">
        <v>115.659638</v>
      </c>
      <c r="E86" s="1">
        <v>0.17341899999999999</v>
      </c>
      <c r="F86" s="1">
        <v>0.91065399999999996</v>
      </c>
      <c r="G86" s="1">
        <v>0.234482</v>
      </c>
    </row>
    <row r="87" spans="1:7" x14ac:dyDescent="0.35">
      <c r="A87" s="1">
        <v>1580</v>
      </c>
      <c r="B87" s="1">
        <v>49.746260999999997</v>
      </c>
      <c r="C87" s="1">
        <v>113.140542</v>
      </c>
      <c r="D87" s="1">
        <v>115.659638</v>
      </c>
      <c r="E87" s="1">
        <v>0.15165600000000001</v>
      </c>
      <c r="F87" s="1">
        <v>2.0453990000000002</v>
      </c>
      <c r="G87" s="1">
        <v>1.3539620000000001</v>
      </c>
    </row>
    <row r="88" spans="1:7" x14ac:dyDescent="0.35">
      <c r="A88" s="1">
        <v>1600</v>
      </c>
      <c r="B88" s="1">
        <v>50.348292000000001</v>
      </c>
      <c r="C88" s="1">
        <v>121.609769</v>
      </c>
      <c r="D88" s="1">
        <v>115.659638</v>
      </c>
      <c r="E88" s="1">
        <v>0.96384499999999995</v>
      </c>
      <c r="F88" s="1">
        <v>-0.77118299999999995</v>
      </c>
      <c r="G88" s="1">
        <v>-0.19922500000000001</v>
      </c>
    </row>
    <row r="89" spans="1:7" x14ac:dyDescent="0.35">
      <c r="A89" s="1">
        <v>1620</v>
      </c>
      <c r="B89" s="1">
        <v>50.936408</v>
      </c>
      <c r="C89" s="1">
        <v>103.420886</v>
      </c>
      <c r="D89" s="1">
        <v>115.659638</v>
      </c>
      <c r="E89" s="1">
        <v>0.90823699999999996</v>
      </c>
      <c r="F89" s="1">
        <v>7.1439000000000002E-2</v>
      </c>
      <c r="G89" s="1">
        <v>1.5275369999999999</v>
      </c>
    </row>
    <row r="90" spans="1:7" x14ac:dyDescent="0.35">
      <c r="A90" s="1">
        <v>1640</v>
      </c>
      <c r="B90" s="1">
        <v>51.545861000000002</v>
      </c>
      <c r="C90" s="1">
        <v>121.62872</v>
      </c>
      <c r="D90" s="1">
        <v>115.659638</v>
      </c>
      <c r="E90" s="1">
        <v>-1.773844</v>
      </c>
      <c r="F90" s="1">
        <v>-1.565671</v>
      </c>
      <c r="G90" s="1">
        <v>-2.3895309999999998</v>
      </c>
    </row>
    <row r="91" spans="1:7" x14ac:dyDescent="0.35">
      <c r="A91" s="1">
        <v>1660</v>
      </c>
      <c r="B91" s="1">
        <v>52.151581999999998</v>
      </c>
      <c r="C91" s="1">
        <v>114.187088</v>
      </c>
      <c r="D91" s="1">
        <v>115.659638</v>
      </c>
      <c r="E91" s="1">
        <v>-9.461E-2</v>
      </c>
      <c r="F91" s="1">
        <v>-1.3182560000000001</v>
      </c>
      <c r="G91" s="1">
        <v>0.40266999999999997</v>
      </c>
    </row>
    <row r="92" spans="1:7" x14ac:dyDescent="0.35">
      <c r="A92" s="1">
        <v>1680</v>
      </c>
      <c r="B92" s="1">
        <v>52.768244000000003</v>
      </c>
      <c r="C92" s="1">
        <v>117.93783000000001</v>
      </c>
      <c r="D92" s="1">
        <v>115.659638</v>
      </c>
      <c r="E92" s="1">
        <v>1.623502</v>
      </c>
      <c r="F92" s="1">
        <v>-0.22287999999999999</v>
      </c>
      <c r="G92" s="1">
        <v>1.236432</v>
      </c>
    </row>
    <row r="93" spans="1:7" x14ac:dyDescent="0.35">
      <c r="A93" s="1">
        <v>1700</v>
      </c>
      <c r="B93" s="1">
        <v>53.353546000000001</v>
      </c>
      <c r="C93" s="1">
        <v>101.000916</v>
      </c>
      <c r="D93" s="1">
        <v>115.659638</v>
      </c>
      <c r="E93" s="1">
        <v>0.66356099999999996</v>
      </c>
      <c r="F93" s="1">
        <v>1.186286</v>
      </c>
      <c r="G93" s="1">
        <v>-1.9160539999999999</v>
      </c>
    </row>
    <row r="94" spans="1:7" x14ac:dyDescent="0.35">
      <c r="A94" s="1">
        <v>1720</v>
      </c>
      <c r="B94" s="1">
        <v>53.931964999999998</v>
      </c>
      <c r="C94" s="1">
        <v>122.762488</v>
      </c>
      <c r="D94" s="1">
        <v>115.659638</v>
      </c>
      <c r="E94" s="1">
        <v>-2.580965</v>
      </c>
      <c r="F94" s="1">
        <v>-2.1906789999999998</v>
      </c>
      <c r="G94" s="1">
        <v>2.38117</v>
      </c>
    </row>
    <row r="95" spans="1:7" x14ac:dyDescent="0.35">
      <c r="A95" s="1">
        <v>1740</v>
      </c>
      <c r="B95" s="1">
        <v>54.506371999999999</v>
      </c>
      <c r="C95" s="1">
        <v>126.487509</v>
      </c>
      <c r="D95" s="1">
        <v>115.659638</v>
      </c>
      <c r="E95" s="1">
        <v>-1.332532</v>
      </c>
      <c r="F95" s="1">
        <v>0.480321</v>
      </c>
      <c r="G95" s="1">
        <v>-1.556494</v>
      </c>
    </row>
    <row r="96" spans="1:7" x14ac:dyDescent="0.35">
      <c r="A96" s="1">
        <v>1760</v>
      </c>
      <c r="B96" s="1">
        <v>55.083575000000003</v>
      </c>
      <c r="C96" s="1">
        <v>106.319046</v>
      </c>
      <c r="D96" s="1">
        <v>115.659638</v>
      </c>
      <c r="E96" s="1">
        <v>2.0351729999999999</v>
      </c>
      <c r="F96" s="1">
        <v>0.20650299999999999</v>
      </c>
      <c r="G96" s="1">
        <v>-1.8488389999999999</v>
      </c>
    </row>
    <row r="97" spans="1:29" x14ac:dyDescent="0.35">
      <c r="A97" s="1">
        <v>1780</v>
      </c>
      <c r="B97" s="1">
        <v>55.673755</v>
      </c>
      <c r="C97" s="1">
        <v>100.55878</v>
      </c>
      <c r="D97" s="1">
        <v>115.659638</v>
      </c>
      <c r="E97" s="1">
        <v>0.50971599999999995</v>
      </c>
      <c r="F97" s="1">
        <v>1.513927</v>
      </c>
      <c r="G97" s="1">
        <v>2.3675329999999999</v>
      </c>
    </row>
    <row r="98" spans="1:29" x14ac:dyDescent="0.35">
      <c r="A98" s="1">
        <v>1800</v>
      </c>
      <c r="B98" s="1">
        <v>56.282198999999999</v>
      </c>
      <c r="C98" s="1">
        <v>103.286546</v>
      </c>
      <c r="D98" s="1">
        <v>115.659638</v>
      </c>
      <c r="E98" s="1">
        <v>-0.76827199999999995</v>
      </c>
      <c r="F98" s="1">
        <v>-1.840123</v>
      </c>
      <c r="G98" s="1">
        <v>-1.652711</v>
      </c>
    </row>
    <row r="99" spans="1:29" x14ac:dyDescent="0.35">
      <c r="A99" s="1">
        <v>1820</v>
      </c>
      <c r="B99" s="1">
        <v>56.924892</v>
      </c>
      <c r="C99" s="1">
        <v>62.363143999999998</v>
      </c>
      <c r="D99" s="1">
        <v>115.659638</v>
      </c>
      <c r="E99" s="1">
        <v>-0.17103699999999999</v>
      </c>
      <c r="F99" s="1">
        <v>-0.716723</v>
      </c>
      <c r="G99" s="1">
        <v>2.011009</v>
      </c>
    </row>
    <row r="100" spans="1:29" x14ac:dyDescent="0.35">
      <c r="A100" s="1">
        <v>1840</v>
      </c>
      <c r="B100" s="1">
        <v>57.55236</v>
      </c>
      <c r="C100" s="1">
        <v>107.35898899999999</v>
      </c>
      <c r="D100" s="1">
        <v>115.659638</v>
      </c>
      <c r="E100" s="1">
        <v>3.1984509999999999</v>
      </c>
      <c r="F100" s="1">
        <v>1.137022</v>
      </c>
      <c r="G100" s="1">
        <v>2.124517</v>
      </c>
    </row>
    <row r="101" spans="1:29" x14ac:dyDescent="0.35">
      <c r="A101" s="1">
        <v>1860</v>
      </c>
      <c r="B101" s="1">
        <v>58.147599999999997</v>
      </c>
      <c r="C101" s="1">
        <v>108.842951</v>
      </c>
      <c r="D101" s="1">
        <v>115.659638</v>
      </c>
      <c r="E101" s="1">
        <v>-1.6238900000000001</v>
      </c>
      <c r="F101" s="1">
        <v>0.29830299999999998</v>
      </c>
      <c r="G101" s="1">
        <v>-2.142245</v>
      </c>
    </row>
    <row r="102" spans="1:29" x14ac:dyDescent="0.35">
      <c r="A102" s="1">
        <v>1880</v>
      </c>
      <c r="B102" s="1">
        <v>58.759422999999998</v>
      </c>
      <c r="C102" s="1">
        <v>117.953159</v>
      </c>
      <c r="D102" s="1">
        <v>115.659638</v>
      </c>
      <c r="E102" s="1">
        <v>-1.4669190000000001</v>
      </c>
      <c r="F102" s="1">
        <v>-1.3095410000000001</v>
      </c>
      <c r="G102" s="1">
        <v>2.0217900000000002</v>
      </c>
    </row>
    <row r="103" spans="1:29" x14ac:dyDescent="0.35">
      <c r="A103" s="1">
        <v>1900</v>
      </c>
      <c r="B103" s="1">
        <v>59.372225</v>
      </c>
      <c r="C103" s="1">
        <v>123.982552</v>
      </c>
      <c r="D103" s="1">
        <v>115.659638</v>
      </c>
      <c r="E103" s="1">
        <v>0.40454600000000002</v>
      </c>
      <c r="F103" s="1">
        <v>-1.172995</v>
      </c>
      <c r="G103" s="1">
        <v>-3.0768620000000002</v>
      </c>
    </row>
    <row r="104" spans="1:29" x14ac:dyDescent="0.35">
      <c r="A104" s="1">
        <v>1920</v>
      </c>
      <c r="B104" s="1">
        <v>59.967509999999997</v>
      </c>
      <c r="C104" s="1">
        <v>100.770894</v>
      </c>
      <c r="D104" s="1">
        <v>115.659638</v>
      </c>
      <c r="E104" s="1">
        <v>2.7522829999999998</v>
      </c>
      <c r="F104" s="1">
        <v>2.6614800000000001</v>
      </c>
      <c r="G104" s="1">
        <v>-1.1920740000000001</v>
      </c>
    </row>
    <row r="105" spans="1:29" x14ac:dyDescent="0.35">
      <c r="A105" s="1">
        <v>1940</v>
      </c>
      <c r="B105" s="1">
        <v>60.568815000000001</v>
      </c>
      <c r="C105" s="1">
        <v>116.056023</v>
      </c>
      <c r="D105" s="1">
        <v>115.659638</v>
      </c>
      <c r="E105" s="1">
        <v>0.71173200000000003</v>
      </c>
      <c r="F105" s="1">
        <v>0.81907099999999999</v>
      </c>
      <c r="G105" s="1">
        <v>1.2302630000000001</v>
      </c>
    </row>
    <row r="106" spans="1:29" x14ac:dyDescent="0.35">
      <c r="A106" s="1">
        <v>1960</v>
      </c>
      <c r="B106" s="1">
        <v>61.174992000000003</v>
      </c>
      <c r="C106" s="1">
        <v>108.119021</v>
      </c>
      <c r="D106" s="1">
        <v>115.659638</v>
      </c>
      <c r="E106" s="1">
        <v>-0.57442599999999999</v>
      </c>
      <c r="F106" s="1">
        <v>0.40357399999999999</v>
      </c>
      <c r="G106" s="1">
        <v>3.541134</v>
      </c>
    </row>
    <row r="107" spans="1:29" x14ac:dyDescent="0.35">
      <c r="A107" s="1">
        <v>1980</v>
      </c>
      <c r="B107" s="1">
        <v>61.798360000000002</v>
      </c>
      <c r="C107" s="1">
        <v>86.865945999999994</v>
      </c>
      <c r="D107" s="1">
        <v>115.659638</v>
      </c>
      <c r="E107" s="1">
        <v>-5.638E-2</v>
      </c>
      <c r="F107" s="1">
        <v>0.748417</v>
      </c>
      <c r="G107" s="1">
        <v>-3.2916289999999999</v>
      </c>
    </row>
    <row r="108" spans="1:29" x14ac:dyDescent="0.3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</row>
    <row r="109" spans="1:29" x14ac:dyDescent="0.35">
      <c r="A109" t="s">
        <v>41</v>
      </c>
      <c r="B109" s="1">
        <v>10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</row>
    <row r="110" spans="1:29" x14ac:dyDescent="0.35">
      <c r="A110" t="s">
        <v>42</v>
      </c>
      <c r="B110" s="1">
        <v>0</v>
      </c>
      <c r="C110" s="1">
        <v>14</v>
      </c>
      <c r="D110" s="1">
        <v>28</v>
      </c>
      <c r="E110" s="1">
        <v>67</v>
      </c>
      <c r="F110" s="1">
        <v>82</v>
      </c>
      <c r="G110" s="1">
        <v>111</v>
      </c>
      <c r="H110">
        <v>153</v>
      </c>
      <c r="I110">
        <v>165</v>
      </c>
      <c r="J110">
        <v>160</v>
      </c>
      <c r="K110">
        <v>172</v>
      </c>
      <c r="L110">
        <v>182</v>
      </c>
      <c r="M110">
        <v>158</v>
      </c>
      <c r="N110">
        <v>143</v>
      </c>
      <c r="O110">
        <v>134</v>
      </c>
      <c r="P110">
        <v>90</v>
      </c>
      <c r="Q110">
        <v>83</v>
      </c>
      <c r="R110">
        <v>72</v>
      </c>
      <c r="S110">
        <v>49</v>
      </c>
      <c r="T110">
        <v>50</v>
      </c>
      <c r="U110">
        <v>30</v>
      </c>
      <c r="V110">
        <v>13</v>
      </c>
      <c r="W110">
        <v>18</v>
      </c>
      <c r="X110">
        <v>9</v>
      </c>
      <c r="Y110">
        <v>6</v>
      </c>
      <c r="Z110">
        <v>5</v>
      </c>
      <c r="AA110">
        <v>4</v>
      </c>
      <c r="AB110">
        <v>1</v>
      </c>
      <c r="AC110">
        <v>1</v>
      </c>
    </row>
    <row r="111" spans="1:29" x14ac:dyDescent="0.35">
      <c r="B111" t="str">
        <f>(COLUMN()-2)*$B$109&amp;"–"&amp;((COLUMN()-1)*$B$109)</f>
        <v>0–10</v>
      </c>
      <c r="C111" t="str">
        <f t="shared" ref="C111:AB111" si="0">(COLUMN()-2)*$B$109&amp;"–"&amp;((COLUMN()-1)*$B$109)</f>
        <v>10–20</v>
      </c>
      <c r="D111" t="str">
        <f t="shared" si="0"/>
        <v>20–30</v>
      </c>
      <c r="E111" t="str">
        <f t="shared" si="0"/>
        <v>30–40</v>
      </c>
      <c r="F111" t="str">
        <f t="shared" si="0"/>
        <v>40–50</v>
      </c>
      <c r="G111" t="str">
        <f t="shared" si="0"/>
        <v>50–60</v>
      </c>
      <c r="H111" t="str">
        <f t="shared" si="0"/>
        <v>60–70</v>
      </c>
      <c r="I111" t="str">
        <f t="shared" si="0"/>
        <v>70–80</v>
      </c>
      <c r="J111" t="str">
        <f t="shared" si="0"/>
        <v>80–90</v>
      </c>
      <c r="K111" t="str">
        <f t="shared" si="0"/>
        <v>90–100</v>
      </c>
      <c r="L111" t="str">
        <f t="shared" si="0"/>
        <v>100–110</v>
      </c>
      <c r="M111" t="str">
        <f t="shared" si="0"/>
        <v>110–120</v>
      </c>
      <c r="N111" t="str">
        <f t="shared" si="0"/>
        <v>120–130</v>
      </c>
      <c r="O111" t="str">
        <f t="shared" si="0"/>
        <v>130–140</v>
      </c>
      <c r="P111" t="str">
        <f t="shared" si="0"/>
        <v>140–150</v>
      </c>
      <c r="Q111" t="str">
        <f t="shared" si="0"/>
        <v>150–160</v>
      </c>
      <c r="R111" t="str">
        <f t="shared" si="0"/>
        <v>160–170</v>
      </c>
      <c r="S111" t="str">
        <f t="shared" si="0"/>
        <v>170–180</v>
      </c>
      <c r="T111" t="str">
        <f t="shared" si="0"/>
        <v>180–190</v>
      </c>
      <c r="U111" t="str">
        <f t="shared" si="0"/>
        <v>190–200</v>
      </c>
      <c r="V111" t="str">
        <f t="shared" si="0"/>
        <v>200–210</v>
      </c>
      <c r="W111" t="str">
        <f t="shared" si="0"/>
        <v>210–220</v>
      </c>
      <c r="X111" t="str">
        <f t="shared" si="0"/>
        <v>220–230</v>
      </c>
      <c r="Y111" t="str">
        <f t="shared" si="0"/>
        <v>230–240</v>
      </c>
      <c r="Z111" t="str">
        <f t="shared" si="0"/>
        <v>240–250</v>
      </c>
      <c r="AA111" t="str">
        <f t="shared" si="0"/>
        <v>250–260</v>
      </c>
      <c r="AB111" t="str">
        <f t="shared" si="0"/>
        <v>260–270</v>
      </c>
      <c r="AC111" t="str">
        <f>(COLUMN()-2)*$B$109&amp;"–"&amp;((COLUMN()-1)*$B$109)</f>
        <v>270–280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598A-FF57-4990-A642-D6DF00A83433}">
  <dimension ref="A1:A4"/>
  <sheetViews>
    <sheetView tabSelected="1" workbookViewId="0">
      <selection activeCell="H5" sqref="H5"/>
    </sheetView>
  </sheetViews>
  <sheetFormatPr defaultRowHeight="14.5" x14ac:dyDescent="0.35"/>
  <cols>
    <col min="1" max="1" width="11.81640625" bestFit="1" customWidth="1"/>
  </cols>
  <sheetData>
    <row r="1" spans="1:1" x14ac:dyDescent="0.35">
      <c r="A1">
        <f>experiment_1!E2*experiment_1!B5</f>
        <v>108777640.94845363</v>
      </c>
    </row>
    <row r="2" spans="1:1" x14ac:dyDescent="0.35">
      <c r="A2">
        <f>experiment_2!E2*experiment_2!B5</f>
        <v>107482517.46391751</v>
      </c>
    </row>
    <row r="3" spans="1:1" x14ac:dyDescent="0.35">
      <c r="A3">
        <f>experiment_3!E2*experiment_3!B5</f>
        <v>136581365.01030925</v>
      </c>
    </row>
    <row r="4" spans="1:1" x14ac:dyDescent="0.35">
      <c r="A4">
        <f>experiment_4!E2*experiment_4!B5</f>
        <v>160882952.24742278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5A844-923F-45BA-8E21-5ED8AE6DC2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experiment_9</vt:lpstr>
      <vt:lpstr>experiment_8</vt:lpstr>
      <vt:lpstr>experiment_7</vt:lpstr>
      <vt:lpstr>experiment_6</vt:lpstr>
      <vt:lpstr>experiment_5</vt:lpstr>
      <vt:lpstr>experiment_4</vt:lpstr>
      <vt:lpstr>experiment_3</vt:lpstr>
      <vt:lpstr>experiment_2</vt:lpstr>
      <vt:lpstr>experiment_1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Aahan Sarin</dc:creator>
  <cp:lastModifiedBy>Aahan Sarin</cp:lastModifiedBy>
  <dcterms:created xsi:type="dcterms:W3CDTF">2025-11-24T19:59:39Z</dcterms:created>
  <dcterms:modified xsi:type="dcterms:W3CDTF">2025-11-24T20:38:31Z</dcterms:modified>
</cp:coreProperties>
</file>